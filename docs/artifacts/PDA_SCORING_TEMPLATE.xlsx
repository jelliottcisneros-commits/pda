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5"/>
  <workbookPr/>
  <mc:AlternateContent xmlns:mc="http://schemas.openxmlformats.org/markup-compatibility/2006">
    <mc:Choice Requires="x15">
      <x15ac:absPath xmlns:x15ac="http://schemas.microsoft.com/office/spreadsheetml/2010/11/ac" url="/Users/elliottcisneros/Dropbox/THE SUM/PDA/"/>
    </mc:Choice>
  </mc:AlternateContent>
  <xr:revisionPtr revIDLastSave="0" documentId="8_{EA2CCF6A-E2E8-6948-ACAB-94F5C3FA1817}" xr6:coauthVersionLast="36" xr6:coauthVersionMax="36" xr10:uidLastSave="{00000000-0000-0000-0000-000000000000}"/>
  <bookViews>
    <workbookView xWindow="980" yWindow="1260" windowWidth="28800" windowHeight="159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Sheet1!$A$1:$AB$130,Sheet1!$AC$1:$BA$40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B74" i="1" l="1"/>
  <c r="AG28" i="1" s="1"/>
  <c r="B67" i="1"/>
  <c r="C67" i="1" s="1"/>
  <c r="F67" i="1"/>
  <c r="G67" i="1" s="1"/>
  <c r="J67" i="1"/>
  <c r="K67" i="1" s="1"/>
  <c r="N67" i="1"/>
  <c r="O67" i="1" s="1"/>
  <c r="R67" i="1"/>
  <c r="S67" i="1" s="1"/>
  <c r="V67" i="1"/>
  <c r="W67" i="1" s="1"/>
  <c r="Z67" i="1"/>
  <c r="AA67" i="1" s="1"/>
  <c r="B60" i="1"/>
  <c r="C60" i="1" s="1"/>
  <c r="F60" i="1"/>
  <c r="G60" i="1" s="1"/>
  <c r="J60" i="1"/>
  <c r="K60" i="1" s="1"/>
  <c r="N60" i="1"/>
  <c r="O60" i="1" s="1"/>
  <c r="R60" i="1"/>
  <c r="S60" i="1" s="1"/>
  <c r="V60" i="1"/>
  <c r="W60" i="1" s="1"/>
  <c r="Z60" i="1"/>
  <c r="AA60" i="1" s="1"/>
  <c r="B53" i="1"/>
  <c r="C53" i="1" s="1"/>
  <c r="F53" i="1"/>
  <c r="G53" i="1" s="1"/>
  <c r="J53" i="1"/>
  <c r="K53" i="1" s="1"/>
  <c r="N53" i="1"/>
  <c r="O53" i="1" s="1"/>
  <c r="R53" i="1"/>
  <c r="S53" i="1" s="1"/>
  <c r="V53" i="1"/>
  <c r="W53" i="1" s="1"/>
  <c r="Z53" i="1"/>
  <c r="AA53" i="1" s="1"/>
  <c r="N46" i="1"/>
  <c r="O46" i="1" s="1"/>
  <c r="B46" i="1"/>
  <c r="C46" i="1" s="1"/>
  <c r="V46" i="1"/>
  <c r="W46" i="1" s="1"/>
  <c r="Z46" i="1"/>
  <c r="AA46" i="1" s="1"/>
  <c r="F46" i="1"/>
  <c r="G46" i="1" s="1"/>
  <c r="J46" i="1"/>
  <c r="K46" i="1" s="1"/>
  <c r="R46" i="1"/>
  <c r="S46" i="1" s="1"/>
  <c r="AB75" i="1"/>
  <c r="AG29" i="1" s="1"/>
  <c r="B68" i="1"/>
  <c r="C68" i="1" s="1"/>
  <c r="F68" i="1"/>
  <c r="G68" i="1" s="1"/>
  <c r="J68" i="1"/>
  <c r="K68" i="1" s="1"/>
  <c r="N68" i="1"/>
  <c r="O68" i="1" s="1"/>
  <c r="R68" i="1"/>
  <c r="S68" i="1" s="1"/>
  <c r="V68" i="1"/>
  <c r="W68" i="1" s="1"/>
  <c r="Z68" i="1"/>
  <c r="AA68" i="1" s="1"/>
  <c r="B61" i="1"/>
  <c r="C61" i="1" s="1"/>
  <c r="F61" i="1"/>
  <c r="G61" i="1" s="1"/>
  <c r="J61" i="1"/>
  <c r="K61" i="1" s="1"/>
  <c r="N61" i="1"/>
  <c r="O61" i="1" s="1"/>
  <c r="R61" i="1"/>
  <c r="S61" i="1" s="1"/>
  <c r="V61" i="1"/>
  <c r="W61" i="1" s="1"/>
  <c r="Z61" i="1"/>
  <c r="AA61" i="1" s="1"/>
  <c r="B54" i="1"/>
  <c r="C54" i="1" s="1"/>
  <c r="F54" i="1"/>
  <c r="G54" i="1" s="1"/>
  <c r="J54" i="1"/>
  <c r="K54" i="1" s="1"/>
  <c r="N54" i="1"/>
  <c r="O54" i="1" s="1"/>
  <c r="R54" i="1"/>
  <c r="S54" i="1" s="1"/>
  <c r="V54" i="1"/>
  <c r="W54" i="1" s="1"/>
  <c r="Z54" i="1"/>
  <c r="AA54" i="1" s="1"/>
  <c r="B47" i="1"/>
  <c r="C47" i="1" s="1"/>
  <c r="F47" i="1"/>
  <c r="G47" i="1" s="1"/>
  <c r="J47" i="1"/>
  <c r="K47" i="1" s="1"/>
  <c r="N47" i="1"/>
  <c r="O47" i="1" s="1"/>
  <c r="R47" i="1"/>
  <c r="S47" i="1" s="1"/>
  <c r="V47" i="1"/>
  <c r="W47" i="1" s="1"/>
  <c r="Z47" i="1"/>
  <c r="AA47" i="1" s="1"/>
  <c r="AB76" i="1"/>
  <c r="AG30" i="1" s="1"/>
  <c r="B69" i="1"/>
  <c r="C69" i="1" s="1"/>
  <c r="F69" i="1"/>
  <c r="G69" i="1" s="1"/>
  <c r="J69" i="1"/>
  <c r="K69" i="1" s="1"/>
  <c r="N69" i="1"/>
  <c r="O69" i="1" s="1"/>
  <c r="R69" i="1"/>
  <c r="S69" i="1" s="1"/>
  <c r="V69" i="1"/>
  <c r="W69" i="1" s="1"/>
  <c r="Z69" i="1"/>
  <c r="AA69" i="1" s="1"/>
  <c r="B62" i="1"/>
  <c r="C62" i="1" s="1"/>
  <c r="F62" i="1"/>
  <c r="G62" i="1" s="1"/>
  <c r="J62" i="1"/>
  <c r="K62" i="1" s="1"/>
  <c r="N62" i="1"/>
  <c r="O62" i="1" s="1"/>
  <c r="R62" i="1"/>
  <c r="S62" i="1" s="1"/>
  <c r="V62" i="1"/>
  <c r="W62" i="1" s="1"/>
  <c r="Z62" i="1"/>
  <c r="AA62" i="1" s="1"/>
  <c r="B55" i="1"/>
  <c r="C55" i="1" s="1"/>
  <c r="F55" i="1"/>
  <c r="G55" i="1" s="1"/>
  <c r="J55" i="1"/>
  <c r="K55" i="1" s="1"/>
  <c r="N55" i="1"/>
  <c r="O55" i="1" s="1"/>
  <c r="R55" i="1"/>
  <c r="S55" i="1" s="1"/>
  <c r="V55" i="1"/>
  <c r="W55" i="1" s="1"/>
  <c r="Z55" i="1"/>
  <c r="AA55" i="1" s="1"/>
  <c r="B48" i="1"/>
  <c r="C48" i="1" s="1"/>
  <c r="F48" i="1"/>
  <c r="G48" i="1" s="1"/>
  <c r="J48" i="1"/>
  <c r="K48" i="1" s="1"/>
  <c r="N48" i="1"/>
  <c r="O48" i="1" s="1"/>
  <c r="R48" i="1"/>
  <c r="S48" i="1" s="1"/>
  <c r="V48" i="1"/>
  <c r="W48" i="1" s="1"/>
  <c r="Z48" i="1"/>
  <c r="AA48" i="1" s="1"/>
  <c r="B49" i="1"/>
  <c r="C49" i="1" s="1"/>
  <c r="F49" i="1"/>
  <c r="G49" i="1" s="1"/>
  <c r="J49" i="1"/>
  <c r="K49" i="1" s="1"/>
  <c r="N49" i="1"/>
  <c r="O49" i="1" s="1"/>
  <c r="R49" i="1"/>
  <c r="S49" i="1" s="1"/>
  <c r="V49" i="1"/>
  <c r="W49" i="1" s="1"/>
  <c r="Z49" i="1"/>
  <c r="AA49" i="1" s="1"/>
  <c r="B56" i="1"/>
  <c r="C56" i="1" s="1"/>
  <c r="F56" i="1"/>
  <c r="G56" i="1" s="1"/>
  <c r="J56" i="1"/>
  <c r="K56" i="1" s="1"/>
  <c r="N56" i="1"/>
  <c r="O56" i="1" s="1"/>
  <c r="R56" i="1"/>
  <c r="S56" i="1" s="1"/>
  <c r="V56" i="1"/>
  <c r="W56" i="1" s="1"/>
  <c r="Z56" i="1"/>
  <c r="AA56" i="1" s="1"/>
  <c r="B63" i="1"/>
  <c r="C63" i="1" s="1"/>
  <c r="F63" i="1"/>
  <c r="G63" i="1" s="1"/>
  <c r="J63" i="1"/>
  <c r="K63" i="1" s="1"/>
  <c r="N63" i="1"/>
  <c r="O63" i="1" s="1"/>
  <c r="R63" i="1"/>
  <c r="S63" i="1" s="1"/>
  <c r="V63" i="1"/>
  <c r="W63" i="1" s="1"/>
  <c r="Z63" i="1"/>
  <c r="AA63" i="1" s="1"/>
  <c r="B70" i="1"/>
  <c r="C70" i="1" s="1"/>
  <c r="F70" i="1"/>
  <c r="G70" i="1" s="1"/>
  <c r="J70" i="1"/>
  <c r="K70" i="1" s="1"/>
  <c r="N70" i="1"/>
  <c r="O70" i="1" s="1"/>
  <c r="R70" i="1"/>
  <c r="S70" i="1" s="1"/>
  <c r="V70" i="1"/>
  <c r="W70" i="1" s="1"/>
  <c r="Z70" i="1"/>
  <c r="AA70" i="1" s="1"/>
  <c r="AB77" i="1"/>
  <c r="AG31" i="1" s="1"/>
  <c r="B50" i="1"/>
  <c r="C50" i="1" s="1"/>
  <c r="F50" i="1"/>
  <c r="G50" i="1" s="1"/>
  <c r="J50" i="1"/>
  <c r="K50" i="1" s="1"/>
  <c r="N50" i="1"/>
  <c r="O50" i="1" s="1"/>
  <c r="R50" i="1"/>
  <c r="S50" i="1" s="1"/>
  <c r="V50" i="1"/>
  <c r="W50" i="1" s="1"/>
  <c r="Z50" i="1"/>
  <c r="AA50" i="1" s="1"/>
  <c r="B57" i="1"/>
  <c r="C57" i="1" s="1"/>
  <c r="F57" i="1"/>
  <c r="G57" i="1" s="1"/>
  <c r="J57" i="1"/>
  <c r="K57" i="1" s="1"/>
  <c r="N57" i="1"/>
  <c r="O57" i="1" s="1"/>
  <c r="R57" i="1"/>
  <c r="S57" i="1" s="1"/>
  <c r="V57" i="1"/>
  <c r="W57" i="1" s="1"/>
  <c r="Z57" i="1"/>
  <c r="AA57" i="1" s="1"/>
  <c r="B64" i="1"/>
  <c r="C64" i="1" s="1"/>
  <c r="F64" i="1"/>
  <c r="G64" i="1" s="1"/>
  <c r="J64" i="1"/>
  <c r="K64" i="1" s="1"/>
  <c r="N64" i="1"/>
  <c r="O64" i="1" s="1"/>
  <c r="R64" i="1"/>
  <c r="S64" i="1" s="1"/>
  <c r="V64" i="1"/>
  <c r="W64" i="1" s="1"/>
  <c r="Z64" i="1"/>
  <c r="AA64" i="1" s="1"/>
  <c r="B71" i="1"/>
  <c r="C71" i="1" s="1"/>
  <c r="F71" i="1"/>
  <c r="G71" i="1" s="1"/>
  <c r="J71" i="1"/>
  <c r="K71" i="1" s="1"/>
  <c r="N71" i="1"/>
  <c r="O71" i="1" s="1"/>
  <c r="R71" i="1"/>
  <c r="S71" i="1" s="1"/>
  <c r="V71" i="1"/>
  <c r="W71" i="1" s="1"/>
  <c r="Z71" i="1"/>
  <c r="AA71" i="1" s="1"/>
  <c r="AB78" i="1"/>
  <c r="AG32" i="1" s="1"/>
  <c r="F78" i="1"/>
  <c r="R77" i="1"/>
  <c r="R76" i="1"/>
  <c r="N77" i="1"/>
  <c r="N76" i="1"/>
  <c r="Z78" i="1"/>
  <c r="Z77" i="1"/>
  <c r="Z76" i="1"/>
  <c r="Z75" i="1"/>
  <c r="Z74" i="1"/>
  <c r="AA79" i="1"/>
  <c r="V78" i="1"/>
  <c r="V77" i="1"/>
  <c r="V76" i="1"/>
  <c r="V75" i="1"/>
  <c r="V74" i="1"/>
  <c r="W79" i="1"/>
  <c r="R78" i="1"/>
  <c r="R75" i="1"/>
  <c r="R74" i="1"/>
  <c r="S79" i="1"/>
  <c r="N78" i="1"/>
  <c r="N75" i="1"/>
  <c r="N74" i="1"/>
  <c r="O79" i="1"/>
  <c r="J75" i="1"/>
  <c r="J74" i="1"/>
  <c r="J76" i="1"/>
  <c r="J77" i="1"/>
  <c r="J78" i="1"/>
  <c r="K79" i="1"/>
  <c r="F77" i="1"/>
  <c r="F76" i="1"/>
  <c r="F75" i="1"/>
  <c r="F74" i="1"/>
  <c r="G79" i="1"/>
  <c r="B74" i="1"/>
  <c r="B75" i="1"/>
  <c r="B76" i="1"/>
  <c r="B77" i="1"/>
  <c r="B78" i="1"/>
  <c r="C79" i="1"/>
  <c r="AD8" i="1" l="1"/>
  <c r="AD24" i="1"/>
  <c r="AD31" i="1"/>
  <c r="AD20" i="1"/>
  <c r="W81" i="1"/>
  <c r="AV4" i="1" s="1"/>
  <c r="AD22" i="1"/>
  <c r="AD32" i="1"/>
  <c r="AD14" i="1"/>
  <c r="K83" i="1"/>
  <c r="AS6" i="1" s="1"/>
  <c r="C65" i="1"/>
  <c r="AB69" i="1"/>
  <c r="AG24" i="1" s="1"/>
  <c r="AD17" i="1"/>
  <c r="W83" i="1"/>
  <c r="AV6" i="1" s="1"/>
  <c r="S83" i="1"/>
  <c r="AU6" i="1" s="1"/>
  <c r="AB71" i="1"/>
  <c r="AG26" i="1" s="1"/>
  <c r="AA85" i="1"/>
  <c r="AW8" i="1" s="1"/>
  <c r="S85" i="1"/>
  <c r="AU8" i="1" s="1"/>
  <c r="K85" i="1"/>
  <c r="AS8" i="1" s="1"/>
  <c r="AB57" i="1"/>
  <c r="AG14" i="1" s="1"/>
  <c r="G85" i="1"/>
  <c r="AR8" i="1" s="1"/>
  <c r="W58" i="1"/>
  <c r="O83" i="1"/>
  <c r="AT6" i="1" s="1"/>
  <c r="AD16" i="1"/>
  <c r="AD4" i="1"/>
  <c r="AD12" i="1"/>
  <c r="AD10" i="1"/>
  <c r="AD29" i="1"/>
  <c r="AD26" i="1"/>
  <c r="K82" i="1"/>
  <c r="AS5" i="1" s="1"/>
  <c r="C72" i="1"/>
  <c r="G83" i="1"/>
  <c r="AR6" i="1" s="1"/>
  <c r="AB55" i="1"/>
  <c r="AG12" i="1" s="1"/>
  <c r="C83" i="1"/>
  <c r="AQ6" i="1" s="1"/>
  <c r="S81" i="1"/>
  <c r="AU4" i="1" s="1"/>
  <c r="O85" i="1"/>
  <c r="AT8" i="1" s="1"/>
  <c r="AD30" i="1"/>
  <c r="K72" i="1"/>
  <c r="AB56" i="1"/>
  <c r="AG13" i="1" s="1"/>
  <c r="O84" i="1"/>
  <c r="AT7" i="1" s="1"/>
  <c r="AA83" i="1"/>
  <c r="AW6" i="1" s="1"/>
  <c r="AB48" i="1"/>
  <c r="AB62" i="1"/>
  <c r="AG18" i="1" s="1"/>
  <c r="AB54" i="1"/>
  <c r="AG11" i="1" s="1"/>
  <c r="K81" i="1"/>
  <c r="AS4" i="1" s="1"/>
  <c r="O72" i="1"/>
  <c r="W85" i="1"/>
  <c r="AV8" i="1" s="1"/>
  <c r="AA65" i="1"/>
  <c r="AD28" i="1"/>
  <c r="AD18" i="1"/>
  <c r="AD23" i="1"/>
  <c r="AB64" i="1"/>
  <c r="AG20" i="1" s="1"/>
  <c r="AB50" i="1"/>
  <c r="AG8" i="1" s="1"/>
  <c r="S65" i="1"/>
  <c r="AA82" i="1"/>
  <c r="AW5" i="1" s="1"/>
  <c r="W72" i="1"/>
  <c r="K65" i="1"/>
  <c r="AD6" i="1"/>
  <c r="C85" i="1"/>
  <c r="AQ8" i="1" s="1"/>
  <c r="AD19" i="1"/>
  <c r="K58" i="1"/>
  <c r="W84" i="1"/>
  <c r="AV7" i="1" s="1"/>
  <c r="AD11" i="1"/>
  <c r="AB63" i="1"/>
  <c r="AG19" i="1" s="1"/>
  <c r="K84" i="1"/>
  <c r="AS7" i="1" s="1"/>
  <c r="AA58" i="1"/>
  <c r="O65" i="1"/>
  <c r="AB60" i="1"/>
  <c r="AG16" i="1" s="1"/>
  <c r="AB70" i="1"/>
  <c r="AG25" i="1" s="1"/>
  <c r="AB68" i="1"/>
  <c r="AG23" i="1" s="1"/>
  <c r="C81" i="1"/>
  <c r="AQ4" i="1" s="1"/>
  <c r="C51" i="1"/>
  <c r="O58" i="1"/>
  <c r="AB53" i="1"/>
  <c r="W65" i="1"/>
  <c r="S72" i="1"/>
  <c r="S82" i="1"/>
  <c r="AU5" i="1" s="1"/>
  <c r="S51" i="1"/>
  <c r="C82" i="1"/>
  <c r="AQ5" i="1" s="1"/>
  <c r="AB47" i="1"/>
  <c r="S58" i="1"/>
  <c r="G65" i="1"/>
  <c r="AB67" i="1"/>
  <c r="AG22" i="1" s="1"/>
  <c r="AA84" i="1"/>
  <c r="AW7" i="1" s="1"/>
  <c r="O82" i="1"/>
  <c r="AT5" i="1" s="1"/>
  <c r="G81" i="1"/>
  <c r="AR4" i="1" s="1"/>
  <c r="G58" i="1"/>
  <c r="O81" i="1"/>
  <c r="AT4" i="1" s="1"/>
  <c r="K51" i="1"/>
  <c r="G84" i="1"/>
  <c r="AR7" i="1" s="1"/>
  <c r="C84" i="1"/>
  <c r="AQ7" i="1" s="1"/>
  <c r="S84" i="1"/>
  <c r="AU7" i="1" s="1"/>
  <c r="AB49" i="1"/>
  <c r="W82" i="1"/>
  <c r="AV5" i="1" s="1"/>
  <c r="G82" i="1"/>
  <c r="AR5" i="1" s="1"/>
  <c r="G51" i="1"/>
  <c r="AB61" i="1"/>
  <c r="AG17" i="1" s="1"/>
  <c r="AA81" i="1"/>
  <c r="AW4" i="1" s="1"/>
  <c r="AA51" i="1"/>
  <c r="AB46" i="1"/>
  <c r="AG4" i="1" s="1"/>
  <c r="AA72" i="1"/>
  <c r="G72" i="1"/>
  <c r="C58" i="1"/>
  <c r="AD7" i="1"/>
  <c r="AD25" i="1"/>
  <c r="W51" i="1"/>
  <c r="AD13" i="1"/>
  <c r="AD5" i="1"/>
  <c r="O51" i="1"/>
  <c r="AB85" i="1" l="1"/>
  <c r="AG38" i="1"/>
  <c r="AH38" i="1" s="1"/>
  <c r="AG6" i="1"/>
  <c r="AG36" i="1" s="1"/>
  <c r="AB83" i="1"/>
  <c r="AG10" i="1"/>
  <c r="AG34" i="1" s="1"/>
  <c r="AB81" i="1"/>
  <c r="AG5" i="1"/>
  <c r="AG35" i="1" s="1"/>
  <c r="AB82" i="1"/>
  <c r="AG7" i="1"/>
  <c r="AG37" i="1" s="1"/>
  <c r="AB84" i="1"/>
  <c r="AE39" i="1" l="1"/>
  <c r="AI39" i="1" s="1"/>
  <c r="AP39" i="1" s="1"/>
</calcChain>
</file>

<file path=xl/sharedStrings.xml><?xml version="1.0" encoding="utf-8"?>
<sst xmlns="http://schemas.openxmlformats.org/spreadsheetml/2006/main" count="544" uniqueCount="85">
  <si>
    <t>a</t>
  </si>
  <si>
    <t>religion</t>
  </si>
  <si>
    <t>disability</t>
  </si>
  <si>
    <t>gender</t>
  </si>
  <si>
    <t>race</t>
  </si>
  <si>
    <t>class</t>
  </si>
  <si>
    <t>LGBTQ+</t>
  </si>
  <si>
    <t>se</t>
  </si>
  <si>
    <t>s</t>
  </si>
  <si>
    <t>o</t>
  </si>
  <si>
    <t>points</t>
  </si>
  <si>
    <t xml:space="preserve">  RESPONSE OPTIONS:</t>
  </si>
  <si>
    <t>sensitivity</t>
  </si>
  <si>
    <t>oneness</t>
  </si>
  <si>
    <t>strength</t>
  </si>
  <si>
    <t>appreciation</t>
  </si>
  <si>
    <t>s#=statement number</t>
  </si>
  <si>
    <t>s#</t>
  </si>
  <si>
    <t>r</t>
  </si>
  <si>
    <t>r=response</t>
  </si>
  <si>
    <t>p</t>
  </si>
  <si>
    <t>p=power</t>
  </si>
  <si>
    <t>mr</t>
  </si>
  <si>
    <t>For every "b" response: 3 pts</t>
  </si>
  <si>
    <t>For every "c" response: 2 pts</t>
  </si>
  <si>
    <t>For every "d" response: 1 pt</t>
  </si>
  <si>
    <t>For every "e" response: 0 pts</t>
  </si>
  <si>
    <t xml:space="preserve">For every "a" response: 4 pts </t>
  </si>
  <si>
    <t>Totals for each Power Perspective by response option/point value</t>
  </si>
  <si>
    <t xml:space="preserve"> </t>
  </si>
  <si>
    <t>mr=total # of matching responses</t>
  </si>
  <si>
    <t>POWER PERSPECTIVES:</t>
  </si>
  <si>
    <t>se=sensitivity</t>
  </si>
  <si>
    <t>a=appreciation</t>
  </si>
  <si>
    <t>s=strength</t>
  </si>
  <si>
    <t>o=oneness</t>
  </si>
  <si>
    <t>Response summary by sociocultural location and power perspective:</t>
  </si>
  <si>
    <t>Response summary by power perspective matches and point values:</t>
  </si>
  <si>
    <t>www.thesum.org</t>
  </si>
  <si>
    <t>KEY:</t>
  </si>
  <si>
    <r>
      <rPr>
        <sz val="11"/>
        <color theme="10"/>
        <rFont val="Calibri (Body)"/>
      </rPr>
      <t xml:space="preserve">   </t>
    </r>
    <r>
      <rPr>
        <u/>
        <sz val="11"/>
        <color theme="10"/>
        <rFont val="Calibri"/>
        <family val="2"/>
        <scheme val="minor"/>
      </rPr>
      <t>www.thesum.org</t>
    </r>
  </si>
  <si>
    <t xml:space="preserve">         mrp=matching response points</t>
  </si>
  <si>
    <t>mrp</t>
  </si>
  <si>
    <t>total</t>
  </si>
  <si>
    <t>pttl</t>
  </si>
  <si>
    <t>pttl=power total for this response</t>
  </si>
  <si>
    <t>Intersectional Data: Total Points Across All Sociocultural Locations</t>
  </si>
  <si>
    <t>disbility</t>
  </si>
  <si>
    <t>out of</t>
  </si>
  <si>
    <t>or</t>
  </si>
  <si>
    <t>l=leveraged</t>
  </si>
  <si>
    <t>l</t>
  </si>
  <si>
    <t>leveraged</t>
  </si>
  <si>
    <t>POINTS:</t>
  </si>
  <si>
    <t>ethnicity</t>
  </si>
  <si>
    <t>a. strongly agree; love</t>
  </si>
  <si>
    <t>b. agree more than disagree; like</t>
  </si>
  <si>
    <t>c. agree and disagree about the same; neutral emotional reaction</t>
  </si>
  <si>
    <t>e. strongly disagree; hate</t>
  </si>
  <si>
    <t>lgbq+</t>
  </si>
  <si>
    <t xml:space="preserve">  Survey Results For:</t>
  </si>
  <si>
    <t>e</t>
  </si>
  <si>
    <t>J Elliott Cisneros MEd, Carla Sherrell, EdD ~ 2016 ALL RIGHTS RESERVED ©</t>
  </si>
  <si>
    <t>e. disagree more than agree; dislike</t>
  </si>
  <si>
    <t>b</t>
  </si>
  <si>
    <t>c</t>
  </si>
  <si>
    <t>d</t>
  </si>
  <si>
    <t>Total</t>
  </si>
  <si>
    <t>conflicts with "leveraged" perspective.</t>
  </si>
  <si>
    <t>pts</t>
  </si>
  <si>
    <t>(difference between "leveraged" possible and "leveraged" chosen)</t>
  </si>
  <si>
    <t>aligned with a "leveraged" perspective.</t>
  </si>
  <si>
    <t>"e" responses - worth 0 points</t>
  </si>
  <si>
    <t>"d" responses - worth 1 point</t>
  </si>
  <si>
    <t xml:space="preserve">"c" responses - worth 2 points </t>
  </si>
  <si>
    <t xml:space="preserve">"b" responses - worth 3 points </t>
  </si>
  <si>
    <t xml:space="preserve">"a" responses - worth 4 points </t>
  </si>
  <si>
    <t>a. strongly agree</t>
  </si>
  <si>
    <t>b. agree more than disagree</t>
  </si>
  <si>
    <t>c. agree and disagree about the same</t>
  </si>
  <si>
    <t>d. disagree more than agree</t>
  </si>
  <si>
    <t>e. strongly disagree</t>
  </si>
  <si>
    <t>ANONYMOUS</t>
  </si>
  <si>
    <t xml:space="preserve">The Power of Difference Assessment </t>
  </si>
  <si>
    <t>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</si>
</sst>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u/>
      <sz val="13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 (Body)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u/>
      <sz val="13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187">
    <xf numFmtId="0" fontId="0" fillId="0" borderId="0" xfId="0"/>
    <xf numFmtId="0" fontId="11" fillId="2" borderId="0" xfId="0" applyFont="1" applyFill="1" applyBorder="1"/>
    <xf numFmtId="0" fontId="12" fillId="0" borderId="0" xfId="0" applyFont="1"/>
    <xf numFmtId="0" fontId="12" fillId="0" borderId="0" xfId="0" applyFon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5" fillId="0" borderId="0" xfId="0" applyFont="1" applyFill="1"/>
    <xf numFmtId="0" fontId="15" fillId="0" borderId="0" xfId="0" applyFont="1" applyBorder="1"/>
    <xf numFmtId="0" fontId="15" fillId="0" borderId="0" xfId="0" applyFont="1" applyAlignment="1">
      <alignment shrinkToFit="1"/>
    </xf>
    <xf numFmtId="0" fontId="20" fillId="2" borderId="0" xfId="0" applyFont="1" applyFill="1" applyBorder="1"/>
    <xf numFmtId="0" fontId="0" fillId="0" borderId="0" xfId="0" applyFont="1"/>
    <xf numFmtId="0" fontId="0" fillId="0" borderId="0" xfId="0" applyFont="1" applyBorder="1"/>
    <xf numFmtId="0" fontId="15" fillId="0" borderId="0" xfId="0" applyFont="1" applyAlignment="1">
      <alignment horizontal="center"/>
    </xf>
    <xf numFmtId="0" fontId="0" fillId="0" borderId="0" xfId="0" applyFont="1" applyFill="1"/>
    <xf numFmtId="0" fontId="15" fillId="0" borderId="0" xfId="0" applyFont="1" applyBorder="1" applyAlignment="1">
      <alignment shrinkToFit="1"/>
    </xf>
    <xf numFmtId="0" fontId="22" fillId="0" borderId="0" xfId="0" applyFont="1" applyBorder="1"/>
    <xf numFmtId="0" fontId="18" fillId="2" borderId="1" xfId="0" applyFont="1" applyFill="1" applyBorder="1" applyAlignment="1">
      <alignment vertical="center"/>
    </xf>
    <xf numFmtId="0" fontId="19" fillId="2" borderId="2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8" fillId="2" borderId="1" xfId="0" applyFont="1" applyFill="1" applyBorder="1"/>
    <xf numFmtId="0" fontId="15" fillId="7" borderId="4" xfId="0" applyFont="1" applyFill="1" applyBorder="1" applyAlignment="1">
      <alignment horizontal="center" vertical="center"/>
    </xf>
    <xf numFmtId="0" fontId="15" fillId="7" borderId="0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left" vertical="top"/>
    </xf>
    <xf numFmtId="0" fontId="17" fillId="7" borderId="0" xfId="0" applyFont="1" applyFill="1" applyBorder="1" applyAlignment="1">
      <alignment horizontal="left" vertical="top"/>
    </xf>
    <xf numFmtId="0" fontId="16" fillId="7" borderId="0" xfId="0" applyFont="1" applyFill="1" applyBorder="1" applyAlignment="1">
      <alignment horizontal="left" vertical="top" wrapText="1"/>
    </xf>
    <xf numFmtId="0" fontId="17" fillId="7" borderId="5" xfId="0" applyFont="1" applyFill="1" applyBorder="1" applyAlignment="1">
      <alignment horizontal="left" vertical="top"/>
    </xf>
    <xf numFmtId="0" fontId="23" fillId="0" borderId="0" xfId="0" applyFont="1"/>
    <xf numFmtId="0" fontId="24" fillId="0" borderId="0" xfId="0" applyFont="1"/>
    <xf numFmtId="0" fontId="25" fillId="2" borderId="0" xfId="0" applyFont="1" applyFill="1" applyBorder="1"/>
    <xf numFmtId="0" fontId="26" fillId="0" borderId="0" xfId="0" applyFont="1"/>
    <xf numFmtId="0" fontId="24" fillId="5" borderId="0" xfId="0" applyFont="1" applyFill="1"/>
    <xf numFmtId="0" fontId="24" fillId="6" borderId="0" xfId="0" applyFont="1" applyFill="1"/>
    <xf numFmtId="0" fontId="24" fillId="4" borderId="0" xfId="0" applyFont="1" applyFill="1"/>
    <xf numFmtId="0" fontId="24" fillId="3" borderId="0" xfId="0" applyFont="1" applyFill="1"/>
    <xf numFmtId="0" fontId="9" fillId="0" borderId="0" xfId="0" applyFont="1"/>
    <xf numFmtId="0" fontId="0" fillId="2" borderId="0" xfId="0" applyFont="1" applyFill="1" applyBorder="1"/>
    <xf numFmtId="0" fontId="16" fillId="0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5" fillId="2" borderId="0" xfId="0" applyFont="1" applyFill="1" applyBorder="1"/>
    <xf numFmtId="0" fontId="28" fillId="0" borderId="0" xfId="0" applyFont="1"/>
    <xf numFmtId="0" fontId="24" fillId="0" borderId="0" xfId="0" applyFont="1" applyFill="1"/>
    <xf numFmtId="0" fontId="15" fillId="0" borderId="4" xfId="0" applyFont="1" applyBorder="1" applyAlignment="1">
      <alignment vertical="distributed"/>
    </xf>
    <xf numFmtId="0" fontId="15" fillId="7" borderId="0" xfId="0" applyFont="1" applyFill="1" applyBorder="1" applyAlignment="1">
      <alignment vertical="distributed"/>
    </xf>
    <xf numFmtId="0" fontId="15" fillId="8" borderId="0" xfId="0" applyFont="1" applyFill="1" applyBorder="1" applyAlignment="1">
      <alignment vertical="distributed"/>
    </xf>
    <xf numFmtId="0" fontId="15" fillId="9" borderId="5" xfId="0" applyFont="1" applyFill="1" applyBorder="1" applyAlignment="1">
      <alignment vertical="distributed"/>
    </xf>
    <xf numFmtId="0" fontId="15" fillId="0" borderId="0" xfId="0" applyFont="1" applyBorder="1" applyAlignment="1">
      <alignment vertical="distributed"/>
    </xf>
    <xf numFmtId="0" fontId="15" fillId="7" borderId="4" xfId="0" applyFont="1" applyFill="1" applyBorder="1" applyAlignment="1">
      <alignment vertical="distributed"/>
    </xf>
    <xf numFmtId="0" fontId="15" fillId="0" borderId="5" xfId="0" applyFont="1" applyBorder="1" applyAlignment="1">
      <alignment vertical="distributed"/>
    </xf>
    <xf numFmtId="0" fontId="15" fillId="0" borderId="0" xfId="0" applyFont="1" applyBorder="1" applyAlignment="1">
      <alignment vertical="distributed" shrinkToFit="1"/>
    </xf>
    <xf numFmtId="0" fontId="15" fillId="0" borderId="5" xfId="0" applyFont="1" applyBorder="1" applyAlignment="1">
      <alignment vertical="distributed" shrinkToFit="1"/>
    </xf>
    <xf numFmtId="0" fontId="15" fillId="0" borderId="4" xfId="0" applyFont="1" applyBorder="1" applyAlignment="1">
      <alignment vertical="center"/>
    </xf>
    <xf numFmtId="0" fontId="22" fillId="0" borderId="4" xfId="0" applyFont="1" applyBorder="1" applyAlignment="1">
      <alignment vertical="center" readingOrder="1"/>
    </xf>
    <xf numFmtId="0" fontId="22" fillId="0" borderId="4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30" fillId="0" borderId="0" xfId="0" applyFont="1"/>
    <xf numFmtId="0" fontId="31" fillId="2" borderId="0" xfId="0" applyFont="1" applyFill="1" applyBorder="1"/>
    <xf numFmtId="0" fontId="15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top" wrapText="1"/>
    </xf>
    <xf numFmtId="0" fontId="24" fillId="10" borderId="0" xfId="0" applyFont="1" applyFill="1"/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32" fillId="0" borderId="0" xfId="0" applyFont="1"/>
    <xf numFmtId="0" fontId="22" fillId="0" borderId="6" xfId="0" applyFont="1" applyBorder="1" applyAlignment="1">
      <alignment vertical="center"/>
    </xf>
    <xf numFmtId="0" fontId="15" fillId="0" borderId="7" xfId="0" applyFont="1" applyBorder="1" applyAlignment="1">
      <alignment vertical="distributed"/>
    </xf>
    <xf numFmtId="0" fontId="15" fillId="0" borderId="7" xfId="0" applyFont="1" applyBorder="1" applyAlignment="1">
      <alignment vertical="distributed" shrinkToFit="1"/>
    </xf>
    <xf numFmtId="0" fontId="15" fillId="0" borderId="11" xfId="0" applyFont="1" applyBorder="1" applyAlignment="1">
      <alignment vertical="distributed" shrinkToFit="1"/>
    </xf>
    <xf numFmtId="0" fontId="22" fillId="0" borderId="7" xfId="0" applyFont="1" applyBorder="1" applyAlignment="1">
      <alignment vertical="center"/>
    </xf>
    <xf numFmtId="0" fontId="15" fillId="0" borderId="11" xfId="0" applyFont="1" applyBorder="1" applyAlignment="1">
      <alignment vertical="distributed"/>
    </xf>
    <xf numFmtId="0" fontId="16" fillId="3" borderId="5" xfId="0" applyFont="1" applyFill="1" applyBorder="1" applyAlignment="1">
      <alignment horizontal="left" vertical="top" wrapText="1"/>
    </xf>
    <xf numFmtId="0" fontId="33" fillId="0" borderId="0" xfId="1"/>
    <xf numFmtId="0" fontId="28" fillId="0" borderId="0" xfId="0" applyFont="1" applyAlignment="1">
      <alignment shrinkToFit="1"/>
    </xf>
    <xf numFmtId="0" fontId="17" fillId="7" borderId="5" xfId="0" applyFont="1" applyFill="1" applyBorder="1" applyAlignment="1">
      <alignment horizontal="center" vertical="top"/>
    </xf>
    <xf numFmtId="0" fontId="8" fillId="0" borderId="0" xfId="0" applyFont="1" applyBorder="1" applyAlignment="1">
      <alignment vertical="center"/>
    </xf>
    <xf numFmtId="0" fontId="15" fillId="9" borderId="14" xfId="0" applyFont="1" applyFill="1" applyBorder="1"/>
    <xf numFmtId="0" fontId="14" fillId="0" borderId="0" xfId="0" applyFont="1" applyAlignment="1">
      <alignment vertical="distributed"/>
    </xf>
    <xf numFmtId="0" fontId="27" fillId="0" borderId="0" xfId="0" applyFont="1" applyAlignment="1">
      <alignment vertical="distributed"/>
    </xf>
    <xf numFmtId="0" fontId="13" fillId="0" borderId="0" xfId="0" applyFont="1" applyAlignment="1">
      <alignment vertical="distributed"/>
    </xf>
    <xf numFmtId="0" fontId="23" fillId="0" borderId="0" xfId="0" applyFont="1" applyAlignment="1">
      <alignment vertical="distributed"/>
    </xf>
    <xf numFmtId="0" fontId="35" fillId="0" borderId="0" xfId="0" applyFont="1" applyAlignment="1">
      <alignment horizontal="center" vertical="distributed"/>
    </xf>
    <xf numFmtId="0" fontId="33" fillId="0" borderId="0" xfId="1" applyAlignment="1">
      <alignment horizontal="center" vertical="distributed"/>
    </xf>
    <xf numFmtId="0" fontId="12" fillId="0" borderId="0" xfId="0" applyFont="1" applyAlignment="1">
      <alignment horizontal="center" vertical="distributed"/>
    </xf>
    <xf numFmtId="0" fontId="12" fillId="0" borderId="0" xfId="0" applyFont="1" applyAlignment="1">
      <alignment vertical="distributed"/>
    </xf>
    <xf numFmtId="0" fontId="7" fillId="7" borderId="0" xfId="0" applyFont="1" applyFill="1" applyBorder="1" applyAlignment="1">
      <alignment horizontal="left" vertical="distributed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Fill="1" applyAlignment="1">
      <alignment horizontal="center"/>
    </xf>
    <xf numFmtId="0" fontId="15" fillId="0" borderId="0" xfId="0" applyFont="1" applyAlignment="1">
      <alignment horizontal="center" shrinkToFit="1"/>
    </xf>
    <xf numFmtId="0" fontId="15" fillId="2" borderId="0" xfId="0" applyFont="1" applyFill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6" fillId="2" borderId="12" xfId="0" applyFont="1" applyFill="1" applyBorder="1"/>
    <xf numFmtId="0" fontId="15" fillId="2" borderId="13" xfId="0" applyFont="1" applyFill="1" applyBorder="1" applyAlignment="1">
      <alignment vertical="distributed"/>
    </xf>
    <xf numFmtId="0" fontId="15" fillId="0" borderId="13" xfId="0" applyFont="1" applyBorder="1" applyAlignment="1">
      <alignment vertical="distributed"/>
    </xf>
    <xf numFmtId="0" fontId="15" fillId="0" borderId="14" xfId="0" applyFont="1" applyBorder="1" applyAlignment="1">
      <alignment vertical="distributed"/>
    </xf>
    <xf numFmtId="0" fontId="36" fillId="0" borderId="0" xfId="0" applyFont="1" applyFill="1"/>
    <xf numFmtId="0" fontId="36" fillId="0" borderId="0" xfId="0" applyFont="1"/>
    <xf numFmtId="0" fontId="36" fillId="2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0" fontId="24" fillId="2" borderId="0" xfId="0" applyFont="1" applyFill="1"/>
    <xf numFmtId="0" fontId="12" fillId="0" borderId="0" xfId="0" applyFont="1" applyAlignment="1">
      <alignment horizontal="center" vertical="distributed"/>
    </xf>
    <xf numFmtId="0" fontId="15" fillId="2" borderId="0" xfId="0" applyFont="1" applyFill="1" applyBorder="1" applyAlignment="1">
      <alignment shrinkToFit="1"/>
    </xf>
    <xf numFmtId="0" fontId="16" fillId="2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distributed"/>
    </xf>
    <xf numFmtId="0" fontId="0" fillId="0" borderId="9" xfId="0" applyFont="1" applyBorder="1" applyAlignment="1">
      <alignment horizontal="center" vertical="distributed"/>
    </xf>
    <xf numFmtId="9" fontId="0" fillId="0" borderId="9" xfId="0" applyNumberFormat="1" applyFont="1" applyBorder="1" applyAlignment="1">
      <alignment horizontal="center" vertical="distributed"/>
    </xf>
    <xf numFmtId="0" fontId="15" fillId="2" borderId="9" xfId="0" applyFont="1" applyFill="1" applyBorder="1" applyAlignment="1">
      <alignment horizontal="center" vertical="distributed"/>
    </xf>
    <xf numFmtId="0" fontId="24" fillId="2" borderId="9" xfId="0" applyFont="1" applyFill="1" applyBorder="1" applyAlignment="1">
      <alignment horizontal="center" vertical="distributed"/>
    </xf>
    <xf numFmtId="0" fontId="4" fillId="0" borderId="4" xfId="0" applyFont="1" applyBorder="1" applyAlignment="1">
      <alignment vertical="distributed"/>
    </xf>
    <xf numFmtId="0" fontId="4" fillId="0" borderId="0" xfId="0" applyFont="1" applyBorder="1" applyAlignment="1">
      <alignment vertical="distributed"/>
    </xf>
    <xf numFmtId="0" fontId="4" fillId="0" borderId="0" xfId="0" applyFont="1"/>
    <xf numFmtId="0" fontId="4" fillId="0" borderId="0" xfId="0" applyFont="1" applyBorder="1"/>
    <xf numFmtId="0" fontId="6" fillId="2" borderId="0" xfId="0" applyFont="1" applyFill="1" applyBorder="1"/>
    <xf numFmtId="0" fontId="15" fillId="2" borderId="0" xfId="0" applyFont="1" applyFill="1" applyBorder="1" applyAlignment="1">
      <alignment vertical="distributed"/>
    </xf>
    <xf numFmtId="0" fontId="15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vertical="center" readingOrder="1"/>
    </xf>
    <xf numFmtId="0" fontId="4" fillId="0" borderId="0" xfId="0" applyFont="1" applyBorder="1" applyAlignment="1">
      <alignment vertical="center"/>
    </xf>
    <xf numFmtId="0" fontId="24" fillId="0" borderId="0" xfId="0" applyFont="1" applyBorder="1"/>
    <xf numFmtId="0" fontId="24" fillId="0" borderId="0" xfId="0" applyFont="1" applyBorder="1" applyAlignment="1">
      <alignment vertical="distributed" shrinkToFit="1"/>
    </xf>
    <xf numFmtId="0" fontId="24" fillId="0" borderId="0" xfId="0" applyFont="1" applyBorder="1" applyAlignment="1">
      <alignment vertical="distributed"/>
    </xf>
    <xf numFmtId="0" fontId="0" fillId="0" borderId="0" xfId="0" applyFont="1" applyBorder="1" applyAlignment="1">
      <alignment vertical="center" readingOrder="1"/>
    </xf>
    <xf numFmtId="0" fontId="3" fillId="0" borderId="4" xfId="0" applyFont="1" applyBorder="1" applyAlignment="1">
      <alignment vertical="center"/>
    </xf>
    <xf numFmtId="0" fontId="14" fillId="0" borderId="0" xfId="0" applyFont="1" applyAlignment="1">
      <alignment horizontal="left" vertical="distributed"/>
    </xf>
    <xf numFmtId="0" fontId="13" fillId="0" borderId="0" xfId="0" applyFont="1" applyAlignment="1">
      <alignment horizontal="left"/>
    </xf>
    <xf numFmtId="0" fontId="22" fillId="0" borderId="2" xfId="0" applyFont="1" applyBorder="1" applyAlignment="1">
      <alignment horizontal="center" vertical="distributed"/>
    </xf>
    <xf numFmtId="0" fontId="18" fillId="2" borderId="10" xfId="0" applyFont="1" applyFill="1" applyBorder="1" applyAlignment="1">
      <alignment horizontal="center" vertical="distributed"/>
    </xf>
    <xf numFmtId="0" fontId="0" fillId="0" borderId="3" xfId="0" applyBorder="1"/>
    <xf numFmtId="0" fontId="0" fillId="0" borderId="5" xfId="0" applyBorder="1"/>
    <xf numFmtId="0" fontId="0" fillId="0" borderId="11" xfId="0" applyBorder="1"/>
    <xf numFmtId="0" fontId="22" fillId="0" borderId="0" xfId="0" applyFont="1" applyBorder="1" applyAlignment="1">
      <alignment horizontal="center" vertical="distributed"/>
    </xf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24" fillId="0" borderId="9" xfId="0" applyFont="1" applyBorder="1" applyAlignment="1">
      <alignment horizontal="left" vertical="distributed"/>
    </xf>
    <xf numFmtId="0" fontId="0" fillId="2" borderId="9" xfId="0" applyFont="1" applyFill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0" xfId="0" applyFont="1" applyBorder="1" applyAlignment="1">
      <alignment horizontal="left" vertical="distributed"/>
    </xf>
    <xf numFmtId="0" fontId="12" fillId="0" borderId="0" xfId="0" applyFont="1" applyBorder="1" applyAlignment="1">
      <alignment horizontal="center" vertical="distributed"/>
    </xf>
    <xf numFmtId="0" fontId="15" fillId="0" borderId="12" xfId="0" applyFont="1" applyFill="1" applyBorder="1" applyAlignment="1">
      <alignment vertical="distributed"/>
    </xf>
    <xf numFmtId="0" fontId="15" fillId="0" borderId="13" xfId="0" applyFont="1" applyFill="1" applyBorder="1" applyAlignment="1">
      <alignment vertical="distributed"/>
    </xf>
    <xf numFmtId="0" fontId="15" fillId="9" borderId="13" xfId="0" applyFont="1" applyFill="1" applyBorder="1" applyAlignment="1">
      <alignment vertical="distributed"/>
    </xf>
    <xf numFmtId="0" fontId="38" fillId="0" borderId="0" xfId="1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8" fillId="0" borderId="10" xfId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distributed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9" xfId="0" applyFont="1" applyBorder="1" applyAlignment="1">
      <alignment horizontal="left" vertical="distributed"/>
    </xf>
    <xf numFmtId="0" fontId="1" fillId="3" borderId="4" xfId="0" applyFont="1" applyFill="1" applyBorder="1" applyAlignment="1">
      <alignment vertical="center"/>
    </xf>
    <xf numFmtId="0" fontId="10" fillId="3" borderId="0" xfId="0" applyFont="1" applyFill="1" applyBorder="1" applyAlignment="1">
      <alignment vertical="center"/>
    </xf>
    <xf numFmtId="0" fontId="29" fillId="2" borderId="8" xfId="0" applyFont="1" applyFill="1" applyBorder="1" applyAlignment="1">
      <alignment horizontal="center" vertical="distributed"/>
    </xf>
    <xf numFmtId="0" fontId="29" fillId="2" borderId="9" xfId="0" applyFont="1" applyFill="1" applyBorder="1" applyAlignment="1">
      <alignment horizontal="center" vertical="distributed"/>
    </xf>
    <xf numFmtId="0" fontId="29" fillId="2" borderId="10" xfId="0" applyFont="1" applyFill="1" applyBorder="1" applyAlignment="1">
      <alignment horizontal="center" vertical="distributed"/>
    </xf>
    <xf numFmtId="0" fontId="15" fillId="0" borderId="4" xfId="0" applyFont="1" applyBorder="1" applyAlignment="1">
      <alignment vertical="distributed"/>
    </xf>
    <xf numFmtId="0" fontId="15" fillId="0" borderId="0" xfId="0" applyFont="1" applyBorder="1" applyAlignment="1">
      <alignment vertical="distributed"/>
    </xf>
    <xf numFmtId="0" fontId="1" fillId="6" borderId="4" xfId="0" applyFont="1" applyFill="1" applyBorder="1" applyAlignment="1">
      <alignment vertical="center"/>
    </xf>
    <xf numFmtId="0" fontId="10" fillId="6" borderId="0" xfId="0" applyFont="1" applyFill="1" applyBorder="1" applyAlignment="1">
      <alignment vertical="center"/>
    </xf>
    <xf numFmtId="0" fontId="10" fillId="6" borderId="5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0" fillId="5" borderId="0" xfId="0" applyFont="1" applyFill="1" applyBorder="1" applyAlignment="1">
      <alignment vertical="center"/>
    </xf>
    <xf numFmtId="0" fontId="10" fillId="5" borderId="5" xfId="0" applyFont="1" applyFill="1" applyBorder="1" applyAlignment="1">
      <alignment vertical="center"/>
    </xf>
    <xf numFmtId="0" fontId="1" fillId="10" borderId="4" xfId="0" applyFont="1" applyFill="1" applyBorder="1" applyAlignment="1">
      <alignment vertical="center"/>
    </xf>
    <xf numFmtId="0" fontId="10" fillId="10" borderId="0" xfId="0" applyFont="1" applyFill="1" applyBorder="1" applyAlignment="1">
      <alignment vertical="center"/>
    </xf>
    <xf numFmtId="0" fontId="10" fillId="10" borderId="5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0" fillId="4" borderId="0" xfId="0" applyFont="1" applyFill="1" applyBorder="1" applyAlignment="1">
      <alignment vertical="center"/>
    </xf>
    <xf numFmtId="0" fontId="10" fillId="4" borderId="5" xfId="0" applyFont="1" applyFill="1" applyBorder="1" applyAlignment="1">
      <alignment vertical="center"/>
    </xf>
    <xf numFmtId="0" fontId="17" fillId="0" borderId="0" xfId="0" applyFont="1" applyAlignment="1">
      <alignment horizontal="center" vertical="distributed"/>
    </xf>
    <xf numFmtId="0" fontId="35" fillId="0" borderId="0" xfId="0" applyFont="1" applyAlignment="1">
      <alignment horizontal="center" vertical="distributed"/>
    </xf>
    <xf numFmtId="0" fontId="37" fillId="0" borderId="0" xfId="1" applyFont="1" applyAlignment="1">
      <alignment horizontal="left" vertical="distributed"/>
    </xf>
    <xf numFmtId="0" fontId="39" fillId="0" borderId="0" xfId="0" applyFont="1" applyAlignment="1">
      <alignment horizontal="left" vertical="distributed"/>
    </xf>
    <xf numFmtId="0" fontId="23" fillId="0" borderId="0" xfId="0" applyFont="1" applyAlignment="1">
      <alignment horizontal="left" vertical="distributed"/>
    </xf>
    <xf numFmtId="0" fontId="23" fillId="0" borderId="0" xfId="0" applyFont="1" applyAlignment="1">
      <alignment horizontal="right" vertical="distributed"/>
    </xf>
    <xf numFmtId="0" fontId="23" fillId="0" borderId="0" xfId="0" applyFont="1" applyAlignment="1">
      <alignment horizontal="center" vertical="distributed"/>
    </xf>
    <xf numFmtId="0" fontId="18" fillId="2" borderId="8" xfId="0" applyFont="1" applyFill="1" applyBorder="1" applyAlignment="1">
      <alignment horizontal="center" vertical="distributed"/>
    </xf>
    <xf numFmtId="0" fontId="18" fillId="2" borderId="9" xfId="0" applyFont="1" applyFill="1" applyBorder="1" applyAlignment="1">
      <alignment horizontal="center" vertical="distributed"/>
    </xf>
  </cellXfs>
  <cellStyles count="2">
    <cellStyle name="Hyperlink" xfId="1" builtinId="8"/>
    <cellStyle name="Normal" xfId="0" builtinId="0"/>
  </cellStyles>
  <dxfs count="7"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7030A0"/>
        </patternFill>
      </fill>
    </dxf>
    <dxf>
      <font>
        <b/>
        <i val="0"/>
      </font>
      <fill>
        <patternFill>
          <bgColor rgb="FFFF0000"/>
        </patternFill>
      </fill>
    </dxf>
    <dxf>
      <font>
        <strike val="0"/>
      </font>
      <border>
        <vertical/>
        <horizontal/>
      </border>
    </dxf>
  </dxfs>
  <tableStyles count="0" defaultTableStyle="TableStyleMedium2" defaultPivotStyle="PivotStyleLight16"/>
  <colors>
    <mruColors>
      <color rgb="FF5522A5"/>
      <color rgb="FF4022A2"/>
      <color rgb="FF655FAF"/>
      <color rgb="FFA3C855"/>
      <color rgb="FF2025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Across All</a:t>
            </a:r>
          </a:p>
        </c:rich>
      </c:tx>
      <c:layout>
        <c:manualLayout>
          <c:xMode val="edge"/>
          <c:yMode val="edge"/>
          <c:x val="0.12209144592153"/>
          <c:y val="2.76771162914698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SENSITIVITY</c:v>
              </c:pt>
              <c:pt idx="1">
                <c:v> ONENESS</c:v>
              </c:pt>
              <c:pt idx="2">
                <c:v> STRENGTH</c:v>
              </c:pt>
              <c:pt idx="3">
                <c:v> APPRECIATION</c:v>
              </c:pt>
              <c:pt idx="4">
                <c:v> LEVERAGED</c:v>
              </c:pt>
            </c:strLit>
          </c:cat>
          <c:val>
            <c:numRef>
              <c:f>Sheet1!$AE$37:$AE$38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2519-1147-8549-B61FC982DCA2}"/>
            </c:ext>
          </c:extLst>
        </c:ser>
        <c:ser>
          <c:idx val="2"/>
          <c:order val="1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5"/>
              <c:pt idx="0">
                <c:v>SENSITIVITY</c:v>
              </c:pt>
              <c:pt idx="1">
                <c:v> ONENESS</c:v>
              </c:pt>
              <c:pt idx="2">
                <c:v> STRENGTH</c:v>
              </c:pt>
              <c:pt idx="3">
                <c:v> APPRECIATION</c:v>
              </c:pt>
              <c:pt idx="4">
                <c:v> LEVERAGED</c:v>
              </c:pt>
            </c:strLit>
          </c:cat>
          <c:val>
            <c:numRef>
              <c:f>Sheet1!$AF$37:$AF$37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2519-1147-8549-B61FC982DCA2}"/>
            </c:ext>
          </c:extLst>
        </c:ser>
        <c:ser>
          <c:idx val="3"/>
          <c:order val="2"/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5"/>
              <c:pt idx="0">
                <c:v>SENSITIVITY</c:v>
              </c:pt>
              <c:pt idx="1">
                <c:v> ONENESS</c:v>
              </c:pt>
              <c:pt idx="2">
                <c:v> STRENGTH</c:v>
              </c:pt>
              <c:pt idx="3">
                <c:v> APPRECIATION</c:v>
              </c:pt>
              <c:pt idx="4">
                <c:v> LEVERAGED</c:v>
              </c:pt>
            </c:strLit>
          </c:cat>
          <c:val>
            <c:numRef>
              <c:f>Sheet1!$AG$34:$AG$38</c:f>
              <c:numCache>
                <c:formatCode>General</c:formatCode>
                <c:ptCount val="5"/>
                <c:pt idx="0">
                  <c:v>24</c:v>
                </c:pt>
                <c:pt idx="1">
                  <c:v>24</c:v>
                </c:pt>
                <c:pt idx="2">
                  <c:v>14</c:v>
                </c:pt>
                <c:pt idx="3">
                  <c:v>16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19-1147-8549-B61FC982DCA2}"/>
            </c:ext>
          </c:extLst>
        </c:ser>
        <c:ser>
          <c:idx val="1"/>
          <c:order val="3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SENSITIVITY</c:v>
              </c:pt>
              <c:pt idx="1">
                <c:v> ONENESS</c:v>
              </c:pt>
              <c:pt idx="2">
                <c:v> STRENGTH</c:v>
              </c:pt>
              <c:pt idx="3">
                <c:v> APPRECIATION</c:v>
              </c:pt>
              <c:pt idx="4">
                <c:v> LEVERAGED</c:v>
              </c:pt>
            </c:strLit>
          </c:cat>
          <c:val>
            <c:numRef>
              <c:f>Sheet1!$AI$34:$AI$38</c:f>
              <c:numCache>
                <c:formatCode>General</c:formatCode>
                <c:ptCount val="5"/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19-1147-8549-B61FC982DC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-2072431408"/>
        <c:axId val="-2072428256"/>
        <c:axId val="0"/>
      </c:bar3DChart>
      <c:catAx>
        <c:axId val="-20724314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72428256"/>
        <c:crosses val="autoZero"/>
        <c:auto val="1"/>
        <c:lblAlgn val="ctr"/>
        <c:lblOffset val="100"/>
        <c:noMultiLvlLbl val="0"/>
      </c:catAx>
      <c:valAx>
        <c:axId val="-20724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7243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culture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Sheet1!$I$81:$I$85</c:f>
              <c:strCache>
                <c:ptCount val="5"/>
                <c:pt idx="0">
                  <c:v>sensitivity</c:v>
                </c:pt>
                <c:pt idx="1">
                  <c:v>oneness</c:v>
                </c:pt>
                <c:pt idx="2">
                  <c:v>strength</c:v>
                </c:pt>
                <c:pt idx="3">
                  <c:v>appreciation</c:v>
                </c:pt>
                <c:pt idx="4">
                  <c:v>leveraged</c:v>
                </c:pt>
              </c:strCache>
            </c:strRef>
          </c:cat>
          <c:val>
            <c:numRef>
              <c:f>Sheet1!$J$81:$J$85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1FB5-0948-9645-0C6411FD4557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Sheet1!$I$81:$I$85</c:f>
              <c:strCache>
                <c:ptCount val="5"/>
                <c:pt idx="0">
                  <c:v>sensitivity</c:v>
                </c:pt>
                <c:pt idx="1">
                  <c:v>oneness</c:v>
                </c:pt>
                <c:pt idx="2">
                  <c:v>strength</c:v>
                </c:pt>
                <c:pt idx="3">
                  <c:v>appreciation</c:v>
                </c:pt>
                <c:pt idx="4">
                  <c:v>leveraged</c:v>
                </c:pt>
              </c:strCache>
            </c:strRef>
          </c:cat>
          <c:val>
            <c:numRef>
              <c:f>Sheet1!$K$81:$K$85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B5-0948-9645-0C6411FD45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-2083497632"/>
        <c:axId val="-2078269184"/>
        <c:axId val="0"/>
      </c:bar3DChart>
      <c:catAx>
        <c:axId val="-2083497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78269184"/>
        <c:crosses val="autoZero"/>
        <c:auto val="1"/>
        <c:lblAlgn val="ctr"/>
        <c:lblOffset val="100"/>
        <c:noMultiLvlLbl val="0"/>
      </c:catAx>
      <c:valAx>
        <c:axId val="-207826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349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disability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Sheet1!$E$81:$E$85</c:f>
              <c:strCache>
                <c:ptCount val="5"/>
                <c:pt idx="0">
                  <c:v>sensitivity</c:v>
                </c:pt>
                <c:pt idx="1">
                  <c:v>oneness</c:v>
                </c:pt>
                <c:pt idx="2">
                  <c:v>strength</c:v>
                </c:pt>
                <c:pt idx="3">
                  <c:v>appreciation</c:v>
                </c:pt>
                <c:pt idx="4">
                  <c:v>leveraged</c:v>
                </c:pt>
              </c:strCache>
            </c:strRef>
          </c:cat>
          <c:val>
            <c:numRef>
              <c:f>Sheet1!$F$81:$F$85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4046-B043-94A2-D20AA1DDE457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Sheet1!$E$81:$E$85</c:f>
              <c:strCache>
                <c:ptCount val="5"/>
                <c:pt idx="0">
                  <c:v>sensitivity</c:v>
                </c:pt>
                <c:pt idx="1">
                  <c:v>oneness</c:v>
                </c:pt>
                <c:pt idx="2">
                  <c:v>strength</c:v>
                </c:pt>
                <c:pt idx="3">
                  <c:v>appreciation</c:v>
                </c:pt>
                <c:pt idx="4">
                  <c:v>leveraged</c:v>
                </c:pt>
              </c:strCache>
            </c:strRef>
          </c:cat>
          <c:val>
            <c:numRef>
              <c:f>Sheet1!$G$81:$G$85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46-B043-94A2-D20AA1DDE4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-2082688608"/>
        <c:axId val="-2124874144"/>
        <c:axId val="0"/>
      </c:bar3DChart>
      <c:catAx>
        <c:axId val="-2082688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24874144"/>
        <c:crosses val="autoZero"/>
        <c:auto val="1"/>
        <c:lblAlgn val="ctr"/>
        <c:lblOffset val="100"/>
        <c:noMultiLvlLbl val="0"/>
      </c:catAx>
      <c:valAx>
        <c:axId val="-212487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268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religion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Sheet1!$A$81:$A$85</c:f>
              <c:strCache>
                <c:ptCount val="5"/>
                <c:pt idx="0">
                  <c:v>sensitivity</c:v>
                </c:pt>
                <c:pt idx="1">
                  <c:v>oneness</c:v>
                </c:pt>
                <c:pt idx="2">
                  <c:v>strength</c:v>
                </c:pt>
                <c:pt idx="3">
                  <c:v>appreciation</c:v>
                </c:pt>
                <c:pt idx="4">
                  <c:v>leveraged</c:v>
                </c:pt>
              </c:strCache>
            </c:strRef>
          </c:cat>
          <c:val>
            <c:numRef>
              <c:f>Sheet1!$B$81:$B$85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39CF-B545-A1E3-CE1EF8889970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Sheet1!$A$81:$A$85</c:f>
              <c:strCache>
                <c:ptCount val="5"/>
                <c:pt idx="0">
                  <c:v>sensitivity</c:v>
                </c:pt>
                <c:pt idx="1">
                  <c:v>oneness</c:v>
                </c:pt>
                <c:pt idx="2">
                  <c:v>strength</c:v>
                </c:pt>
                <c:pt idx="3">
                  <c:v>appreciation</c:v>
                </c:pt>
                <c:pt idx="4">
                  <c:v>leveraged</c:v>
                </c:pt>
              </c:strCache>
            </c:strRef>
          </c:cat>
          <c:val>
            <c:numRef>
              <c:f>Sheet1!$C$81:$C$85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CF-B545-A1E3-CE1EF88899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-2060399872"/>
        <c:axId val="-2082527232"/>
        <c:axId val="0"/>
      </c:bar3DChart>
      <c:catAx>
        <c:axId val="-2060399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2527232"/>
        <c:crosses val="autoZero"/>
        <c:auto val="1"/>
        <c:lblAlgn val="ctr"/>
        <c:lblOffset val="100"/>
        <c:noMultiLvlLbl val="0"/>
      </c:catAx>
      <c:valAx>
        <c:axId val="-208252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6039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LGBTQ+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Sheet1!$Y$81:$Y$85</c:f>
              <c:strCache>
                <c:ptCount val="5"/>
                <c:pt idx="0">
                  <c:v>sensitivity</c:v>
                </c:pt>
                <c:pt idx="1">
                  <c:v>oneness</c:v>
                </c:pt>
                <c:pt idx="2">
                  <c:v>strength</c:v>
                </c:pt>
                <c:pt idx="3">
                  <c:v>appreciation</c:v>
                </c:pt>
                <c:pt idx="4">
                  <c:v>leveraged</c:v>
                </c:pt>
              </c:strCache>
            </c:strRef>
          </c:cat>
          <c:val>
            <c:numRef>
              <c:f>Sheet1!$Z$81:$Z$85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630B-2E40-BFD9-2A2245725E27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Sheet1!$Y$81:$Y$85</c:f>
              <c:strCache>
                <c:ptCount val="5"/>
                <c:pt idx="0">
                  <c:v>sensitivity</c:v>
                </c:pt>
                <c:pt idx="1">
                  <c:v>oneness</c:v>
                </c:pt>
                <c:pt idx="2">
                  <c:v>strength</c:v>
                </c:pt>
                <c:pt idx="3">
                  <c:v>appreciation</c:v>
                </c:pt>
                <c:pt idx="4">
                  <c:v>leveraged</c:v>
                </c:pt>
              </c:strCache>
            </c:strRef>
          </c:cat>
          <c:val>
            <c:numRef>
              <c:f>Sheet1!$AA$81:$AA$85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0B-2E40-BFD9-2A2245725E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-2125518160"/>
        <c:axId val="-2080328416"/>
        <c:axId val="0"/>
      </c:bar3DChart>
      <c:catAx>
        <c:axId val="-21255181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0328416"/>
        <c:crosses val="autoZero"/>
        <c:auto val="1"/>
        <c:lblAlgn val="ctr"/>
        <c:lblOffset val="100"/>
        <c:noMultiLvlLbl val="0"/>
      </c:catAx>
      <c:valAx>
        <c:axId val="-208032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2551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Sheet1!$M$81:$M$85</c:f>
              <c:strCache>
                <c:ptCount val="5"/>
                <c:pt idx="0">
                  <c:v>sensitivity</c:v>
                </c:pt>
                <c:pt idx="1">
                  <c:v>oneness</c:v>
                </c:pt>
                <c:pt idx="2">
                  <c:v>strength</c:v>
                </c:pt>
                <c:pt idx="3">
                  <c:v>appreciation</c:v>
                </c:pt>
                <c:pt idx="4">
                  <c:v>leveraged</c:v>
                </c:pt>
              </c:strCache>
            </c:strRef>
          </c:cat>
          <c:val>
            <c:numRef>
              <c:f>Sheet1!$N$81:$N$85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D3EA-D246-B5AE-80A4C15DB8FF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Sheet1!$M$81:$M$85</c:f>
              <c:strCache>
                <c:ptCount val="5"/>
                <c:pt idx="0">
                  <c:v>sensitivity</c:v>
                </c:pt>
                <c:pt idx="1">
                  <c:v>oneness</c:v>
                </c:pt>
                <c:pt idx="2">
                  <c:v>strength</c:v>
                </c:pt>
                <c:pt idx="3">
                  <c:v>appreciation</c:v>
                </c:pt>
                <c:pt idx="4">
                  <c:v>leveraged</c:v>
                </c:pt>
              </c:strCache>
            </c:strRef>
          </c:cat>
          <c:val>
            <c:numRef>
              <c:f>Sheet1!$O$81:$O$85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EA-D246-B5AE-80A4C15DB8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-2077689568"/>
        <c:axId val="-2124787584"/>
        <c:axId val="0"/>
      </c:bar3DChart>
      <c:catAx>
        <c:axId val="-20776895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24787584"/>
        <c:crosses val="autoZero"/>
        <c:auto val="1"/>
        <c:lblAlgn val="ctr"/>
        <c:lblOffset val="100"/>
        <c:noMultiLvlLbl val="0"/>
      </c:catAx>
      <c:valAx>
        <c:axId val="-212478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7768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Sheet1!$U$81:$U$85</c:f>
              <c:strCache>
                <c:ptCount val="5"/>
                <c:pt idx="0">
                  <c:v>sensitivity</c:v>
                </c:pt>
                <c:pt idx="1">
                  <c:v>oneness</c:v>
                </c:pt>
                <c:pt idx="2">
                  <c:v>strength</c:v>
                </c:pt>
                <c:pt idx="3">
                  <c:v>appreciation</c:v>
                </c:pt>
                <c:pt idx="4">
                  <c:v>leveraged</c:v>
                </c:pt>
              </c:strCache>
            </c:strRef>
          </c:cat>
          <c:val>
            <c:numRef>
              <c:f>Sheet1!$V$81:$V$85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AE9A-4D4E-B933-CFCF00AF396F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Sheet1!$U$81:$U$85</c:f>
              <c:strCache>
                <c:ptCount val="5"/>
                <c:pt idx="0">
                  <c:v>sensitivity</c:v>
                </c:pt>
                <c:pt idx="1">
                  <c:v>oneness</c:v>
                </c:pt>
                <c:pt idx="2">
                  <c:v>strength</c:v>
                </c:pt>
                <c:pt idx="3">
                  <c:v>appreciation</c:v>
                </c:pt>
                <c:pt idx="4">
                  <c:v>leveraged</c:v>
                </c:pt>
              </c:strCache>
            </c:strRef>
          </c:cat>
          <c:val>
            <c:numRef>
              <c:f>Sheet1!$W$81:$W$85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9A-4D4E-B933-CFCF00AF39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-2058160768"/>
        <c:axId val="-2058153712"/>
        <c:axId val="0"/>
      </c:bar3DChart>
      <c:catAx>
        <c:axId val="-20581607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58153712"/>
        <c:crosses val="autoZero"/>
        <c:auto val="1"/>
        <c:lblAlgn val="ctr"/>
        <c:lblOffset val="100"/>
        <c:noMultiLvlLbl val="0"/>
      </c:catAx>
      <c:valAx>
        <c:axId val="-205815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5816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Intersectional</a:t>
            </a:r>
            <a:r>
              <a:rPr lang="en-US" baseline="0"/>
              <a:t> View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3.23885012256886E-2"/>
          <c:y val="3.2510323581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8039317721506"/>
          <c:y val="0.12797621224377501"/>
          <c:w val="0.47291633487546603"/>
          <c:h val="0.80954838077378199"/>
        </c:manualLayout>
      </c:layout>
      <c:radarChart>
        <c:radarStyle val="marker"/>
        <c:varyColors val="0"/>
        <c:ser>
          <c:idx val="0"/>
          <c:order val="0"/>
          <c:tx>
            <c:v>religion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Sheet1!$AO$4:$AP$8</c:f>
              <c:strCache>
                <c:ptCount val="5"/>
                <c:pt idx="0">
                  <c:v>sensitivity</c:v>
                </c:pt>
                <c:pt idx="1">
                  <c:v>oneness</c:v>
                </c:pt>
                <c:pt idx="2">
                  <c:v>strength</c:v>
                </c:pt>
                <c:pt idx="3">
                  <c:v>appreciation</c:v>
                </c:pt>
                <c:pt idx="4">
                  <c:v>leveraged</c:v>
                </c:pt>
              </c:strCache>
            </c:strRef>
          </c:cat>
          <c:val>
            <c:numRef>
              <c:f>Sheet1!$AQ$4:$AQ$8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4-1F47-8B89-335B5114ADBB}"/>
            </c:ext>
          </c:extLst>
        </c:ser>
        <c:ser>
          <c:idx val="1"/>
          <c:order val="1"/>
          <c:tx>
            <c:v>disability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Sheet1!$AO$4:$AP$8</c:f>
              <c:strCache>
                <c:ptCount val="5"/>
                <c:pt idx="0">
                  <c:v>sensitivity</c:v>
                </c:pt>
                <c:pt idx="1">
                  <c:v>oneness</c:v>
                </c:pt>
                <c:pt idx="2">
                  <c:v>strength</c:v>
                </c:pt>
                <c:pt idx="3">
                  <c:v>appreciation</c:v>
                </c:pt>
                <c:pt idx="4">
                  <c:v>leveraged</c:v>
                </c:pt>
              </c:strCache>
            </c:strRef>
          </c:cat>
          <c:val>
            <c:numRef>
              <c:f>Sheet1!$AR$4:$AR$8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14-1F47-8B89-335B5114ADBB}"/>
            </c:ext>
          </c:extLst>
        </c:ser>
        <c:ser>
          <c:idx val="2"/>
          <c:order val="2"/>
          <c:tx>
            <c:v>culture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Sheet1!$AO$4:$AP$8</c:f>
              <c:strCache>
                <c:ptCount val="5"/>
                <c:pt idx="0">
                  <c:v>sensitivity</c:v>
                </c:pt>
                <c:pt idx="1">
                  <c:v>oneness</c:v>
                </c:pt>
                <c:pt idx="2">
                  <c:v>strength</c:v>
                </c:pt>
                <c:pt idx="3">
                  <c:v>appreciation</c:v>
                </c:pt>
                <c:pt idx="4">
                  <c:v>leveraged</c:v>
                </c:pt>
              </c:strCache>
            </c:strRef>
          </c:cat>
          <c:val>
            <c:numRef>
              <c:f>Sheet1!$AS$4:$AS$8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14-1F47-8B89-335B5114ADBB}"/>
            </c:ext>
          </c:extLst>
        </c:ser>
        <c:ser>
          <c:idx val="3"/>
          <c:order val="3"/>
          <c:tx>
            <c:v>gender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Sheet1!$AO$4:$AP$8</c:f>
              <c:strCache>
                <c:ptCount val="5"/>
                <c:pt idx="0">
                  <c:v>sensitivity</c:v>
                </c:pt>
                <c:pt idx="1">
                  <c:v>oneness</c:v>
                </c:pt>
                <c:pt idx="2">
                  <c:v>strength</c:v>
                </c:pt>
                <c:pt idx="3">
                  <c:v>appreciation</c:v>
                </c:pt>
                <c:pt idx="4">
                  <c:v>leveraged</c:v>
                </c:pt>
              </c:strCache>
            </c:strRef>
          </c:cat>
          <c:val>
            <c:numRef>
              <c:f>Sheet1!$AT$4:$AT$8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14-1F47-8B89-335B5114ADBB}"/>
            </c:ext>
          </c:extLst>
        </c:ser>
        <c:ser>
          <c:idx val="4"/>
          <c:order val="4"/>
          <c:tx>
            <c:v>race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Sheet1!$AO$4:$AP$8</c:f>
              <c:strCache>
                <c:ptCount val="5"/>
                <c:pt idx="0">
                  <c:v>sensitivity</c:v>
                </c:pt>
                <c:pt idx="1">
                  <c:v>oneness</c:v>
                </c:pt>
                <c:pt idx="2">
                  <c:v>strength</c:v>
                </c:pt>
                <c:pt idx="3">
                  <c:v>appreciation</c:v>
                </c:pt>
                <c:pt idx="4">
                  <c:v>leveraged</c:v>
                </c:pt>
              </c:strCache>
            </c:strRef>
          </c:cat>
          <c:val>
            <c:numRef>
              <c:f>Sheet1!$AU$4:$AU$8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14-1F47-8B89-335B5114ADBB}"/>
            </c:ext>
          </c:extLst>
        </c:ser>
        <c:ser>
          <c:idx val="5"/>
          <c:order val="5"/>
          <c:tx>
            <c:v>class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Sheet1!$AO$4:$AP$8</c:f>
              <c:strCache>
                <c:ptCount val="5"/>
                <c:pt idx="0">
                  <c:v>sensitivity</c:v>
                </c:pt>
                <c:pt idx="1">
                  <c:v>oneness</c:v>
                </c:pt>
                <c:pt idx="2">
                  <c:v>strength</c:v>
                </c:pt>
                <c:pt idx="3">
                  <c:v>appreciation</c:v>
                </c:pt>
                <c:pt idx="4">
                  <c:v>leveraged</c:v>
                </c:pt>
              </c:strCache>
            </c:strRef>
          </c:cat>
          <c:val>
            <c:numRef>
              <c:f>Sheet1!$AV$4:$AV$8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14-1F47-8B89-335B5114ADBB}"/>
            </c:ext>
          </c:extLst>
        </c:ser>
        <c:ser>
          <c:idx val="6"/>
          <c:order val="6"/>
          <c:tx>
            <c:v>lgbtq+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Sheet1!$AO$4:$AP$8</c:f>
              <c:strCache>
                <c:ptCount val="5"/>
                <c:pt idx="0">
                  <c:v>sensitivity</c:v>
                </c:pt>
                <c:pt idx="1">
                  <c:v>oneness</c:v>
                </c:pt>
                <c:pt idx="2">
                  <c:v>strength</c:v>
                </c:pt>
                <c:pt idx="3">
                  <c:v>appreciation</c:v>
                </c:pt>
                <c:pt idx="4">
                  <c:v>leveraged</c:v>
                </c:pt>
              </c:strCache>
            </c:strRef>
          </c:cat>
          <c:val>
            <c:numRef>
              <c:f>Sheet1!$AW$4:$AW$8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14-1F47-8B89-335B5114A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3013280"/>
        <c:axId val="-2073010320"/>
      </c:radarChart>
      <c:catAx>
        <c:axId val="-207301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73010320"/>
        <c:crosses val="autoZero"/>
        <c:auto val="1"/>
        <c:lblAlgn val="ctr"/>
        <c:lblOffset val="100"/>
        <c:noMultiLvlLbl val="0"/>
      </c:catAx>
      <c:valAx>
        <c:axId val="-207301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7301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6.6587626629545399E-2"/>
          <c:y val="0.22378804878084499"/>
          <c:w val="0.179342674388909"/>
          <c:h val="0.613636197411169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*unknown/unacknowledged power quotient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Sheet1!$AI$39</c:f>
              <c:numCache>
                <c:formatCode>0%</c:formatCode>
                <c:ptCount val="1"/>
                <c:pt idx="0">
                  <c:v>0.32500000000000001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B-9B47-AF6A-95AB57510684}"/>
            </c:ext>
          </c:extLst>
        </c:ser>
        <c:ser>
          <c:idx val="1"/>
          <c:order val="1"/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Sheet1!$AP$39</c:f>
              <c:numCache>
                <c:formatCode>0%</c:formatCode>
                <c:ptCount val="1"/>
                <c:pt idx="0">
                  <c:v>0.67500000000000004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B-9B47-AF6A-95AB575106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-2056076032"/>
        <c:axId val="2131273040"/>
        <c:axId val="0"/>
      </c:bar3DChart>
      <c:catAx>
        <c:axId val="-20560760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2131273040"/>
        <c:crosses val="autoZero"/>
        <c:auto val="1"/>
        <c:lblAlgn val="ctr"/>
        <c:lblOffset val="100"/>
        <c:noMultiLvlLbl val="0"/>
      </c:catAx>
      <c:valAx>
        <c:axId val="213127304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-205607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race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Sheet1!$Q$81:$Q$85</c:f>
              <c:strCache>
                <c:ptCount val="5"/>
                <c:pt idx="0">
                  <c:v>sensitivity</c:v>
                </c:pt>
                <c:pt idx="1">
                  <c:v>oneness</c:v>
                </c:pt>
                <c:pt idx="2">
                  <c:v>strength</c:v>
                </c:pt>
                <c:pt idx="3">
                  <c:v>appreciation</c:v>
                </c:pt>
                <c:pt idx="4">
                  <c:v>leveraged</c:v>
                </c:pt>
              </c:strCache>
            </c:strRef>
          </c:cat>
          <c:val>
            <c:numRef>
              <c:f>Sheet1!$R$81:$R$85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D93C-1E48-9BEE-236649419AED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Sheet1!$Q$81:$Q$85</c:f>
              <c:strCache>
                <c:ptCount val="5"/>
                <c:pt idx="0">
                  <c:v>sensitivity</c:v>
                </c:pt>
                <c:pt idx="1">
                  <c:v>oneness</c:v>
                </c:pt>
                <c:pt idx="2">
                  <c:v>strength</c:v>
                </c:pt>
                <c:pt idx="3">
                  <c:v>appreciation</c:v>
                </c:pt>
                <c:pt idx="4">
                  <c:v>leveraged</c:v>
                </c:pt>
              </c:strCache>
            </c:strRef>
          </c:cat>
          <c:val>
            <c:numRef>
              <c:f>Sheet1!$S$81:$S$85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3C-1E48-9BEE-236649419A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-2058171856"/>
        <c:axId val="-2055850592"/>
        <c:axId val="0"/>
      </c:bar3DChart>
      <c:catAx>
        <c:axId val="-205817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55850592"/>
        <c:crosses val="autoZero"/>
        <c:auto val="1"/>
        <c:lblAlgn val="ctr"/>
        <c:lblOffset val="100"/>
        <c:noMultiLvlLbl val="0"/>
      </c:catAx>
      <c:valAx>
        <c:axId val="-205585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5817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3.gif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0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2.jpg"/><Relationship Id="rId5" Type="http://schemas.openxmlformats.org/officeDocument/2006/relationships/chart" Target="../charts/chart5.xml"/><Relationship Id="rId10" Type="http://schemas.openxmlformats.org/officeDocument/2006/relationships/image" Target="../media/image1.jp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205153</xdr:colOff>
      <xdr:row>114</xdr:row>
      <xdr:rowOff>141111</xdr:rowOff>
    </xdr:from>
    <xdr:to>
      <xdr:col>27</xdr:col>
      <xdr:colOff>97693</xdr:colOff>
      <xdr:row>130</xdr:row>
      <xdr:rowOff>9766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202597</xdr:colOff>
      <xdr:row>92</xdr:row>
      <xdr:rowOff>97719</xdr:rowOff>
    </xdr:from>
    <xdr:to>
      <xdr:col>27</xdr:col>
      <xdr:colOff>91723</xdr:colOff>
      <xdr:row>104</xdr:row>
      <xdr:rowOff>7055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190500</xdr:colOff>
      <xdr:row>92</xdr:row>
      <xdr:rowOff>101800</xdr:rowOff>
    </xdr:from>
    <xdr:to>
      <xdr:col>18</xdr:col>
      <xdr:colOff>211766</xdr:colOff>
      <xdr:row>103</xdr:row>
      <xdr:rowOff>169333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166077</xdr:colOff>
      <xdr:row>92</xdr:row>
      <xdr:rowOff>97693</xdr:rowOff>
    </xdr:from>
    <xdr:to>
      <xdr:col>9</xdr:col>
      <xdr:colOff>193214</xdr:colOff>
      <xdr:row>103</xdr:row>
      <xdr:rowOff>153595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166077</xdr:colOff>
      <xdr:row>114</xdr:row>
      <xdr:rowOff>148165</xdr:rowOff>
    </xdr:from>
    <xdr:to>
      <xdr:col>9</xdr:col>
      <xdr:colOff>204612</xdr:colOff>
      <xdr:row>125</xdr:row>
      <xdr:rowOff>91723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169334</xdr:colOff>
      <xdr:row>103</xdr:row>
      <xdr:rowOff>125487</xdr:rowOff>
    </xdr:from>
    <xdr:to>
      <xdr:col>9</xdr:col>
      <xdr:colOff>197556</xdr:colOff>
      <xdr:row>114</xdr:row>
      <xdr:rowOff>155222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214922</xdr:colOff>
      <xdr:row>103</xdr:row>
      <xdr:rowOff>142622</xdr:rowOff>
    </xdr:from>
    <xdr:to>
      <xdr:col>27</xdr:col>
      <xdr:colOff>93836</xdr:colOff>
      <xdr:row>114</xdr:row>
      <xdr:rowOff>162277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0</xdr:colOff>
      <xdr:row>9</xdr:row>
      <xdr:rowOff>23231</xdr:rowOff>
    </xdr:from>
    <xdr:to>
      <xdr:col>52</xdr:col>
      <xdr:colOff>309901</xdr:colOff>
      <xdr:row>24</xdr:row>
      <xdr:rowOff>120054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40</xdr:col>
      <xdr:colOff>0</xdr:colOff>
      <xdr:row>25</xdr:row>
      <xdr:rowOff>74895</xdr:rowOff>
    </xdr:from>
    <xdr:to>
      <xdr:col>52</xdr:col>
      <xdr:colOff>290635</xdr:colOff>
      <xdr:row>35</xdr:row>
      <xdr:rowOff>74897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20</xdr:col>
      <xdr:colOff>131041</xdr:colOff>
      <xdr:row>4</xdr:row>
      <xdr:rowOff>132887</xdr:rowOff>
    </xdr:from>
    <xdr:to>
      <xdr:col>27</xdr:col>
      <xdr:colOff>283230</xdr:colOff>
      <xdr:row>19</xdr:row>
      <xdr:rowOff>72726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35041" y="894887"/>
          <a:ext cx="2488665" cy="2661267"/>
        </a:xfrm>
        <a:prstGeom prst="rect">
          <a:avLst/>
        </a:prstGeom>
      </xdr:spPr>
    </xdr:pic>
    <xdr:clientData/>
  </xdr:twoCellAnchor>
  <xdr:twoCellAnchor editAs="oneCell">
    <xdr:from>
      <xdr:col>49</xdr:col>
      <xdr:colOff>73821</xdr:colOff>
      <xdr:row>1</xdr:row>
      <xdr:rowOff>20191</xdr:rowOff>
    </xdr:from>
    <xdr:to>
      <xdr:col>52</xdr:col>
      <xdr:colOff>291133</xdr:colOff>
      <xdr:row>8</xdr:row>
      <xdr:rowOff>55034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560744" y="235114"/>
          <a:ext cx="1272388" cy="126576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115</xdr:row>
      <xdr:rowOff>0</xdr:rowOff>
    </xdr:from>
    <xdr:to>
      <xdr:col>15</xdr:col>
      <xdr:colOff>293960</xdr:colOff>
      <xdr:row>122</xdr:row>
      <xdr:rowOff>38100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19222" y="19311056"/>
          <a:ext cx="1272822" cy="1272822"/>
        </a:xfrm>
        <a:prstGeom prst="rect">
          <a:avLst/>
        </a:prstGeom>
      </xdr:spPr>
    </xdr:pic>
    <xdr:clientData/>
  </xdr:twoCellAnchor>
  <xdr:twoCellAnchor>
    <xdr:from>
      <xdr:col>9</xdr:col>
      <xdr:colOff>204610</xdr:colOff>
      <xdr:row>103</xdr:row>
      <xdr:rowOff>134055</xdr:rowOff>
    </xdr:from>
    <xdr:to>
      <xdr:col>18</xdr:col>
      <xdr:colOff>205154</xdr:colOff>
      <xdr:row>114</xdr:row>
      <xdr:rowOff>162277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0</xdr:colOff>
      <xdr:row>6</xdr:row>
      <xdr:rowOff>0</xdr:rowOff>
    </xdr:from>
    <xdr:to>
      <xdr:col>8</xdr:col>
      <xdr:colOff>9525</xdr:colOff>
      <xdr:row>6</xdr:row>
      <xdr:rowOff>9525</xdr:rowOff>
    </xdr:to>
    <xdr:pic>
      <xdr:nvPicPr>
        <xdr:cNvPr id="15" name="Picture 110" descr="http://www.surveymonkey.com/i/t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2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8</xdr:col>
      <xdr:colOff>9525</xdr:colOff>
      <xdr:row>7</xdr:row>
      <xdr:rowOff>9525</xdr:rowOff>
    </xdr:to>
    <xdr:pic>
      <xdr:nvPicPr>
        <xdr:cNvPr id="16" name="Picture 109" descr="http://www.surveymonkey.com/i/t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3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8</xdr:row>
      <xdr:rowOff>0</xdr:rowOff>
    </xdr:from>
    <xdr:to>
      <xdr:col>8</xdr:col>
      <xdr:colOff>9525</xdr:colOff>
      <xdr:row>8</xdr:row>
      <xdr:rowOff>9525</xdr:rowOff>
    </xdr:to>
    <xdr:pic>
      <xdr:nvPicPr>
        <xdr:cNvPr id="17" name="Picture 108" descr="http://www.surveymonkey.com/i/t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3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9</xdr:row>
      <xdr:rowOff>0</xdr:rowOff>
    </xdr:from>
    <xdr:to>
      <xdr:col>8</xdr:col>
      <xdr:colOff>9525</xdr:colOff>
      <xdr:row>9</xdr:row>
      <xdr:rowOff>9525</xdr:rowOff>
    </xdr:to>
    <xdr:pic>
      <xdr:nvPicPr>
        <xdr:cNvPr id="18" name="Picture 107" descr="http://www.surveymonkey.com/i/t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10</xdr:row>
      <xdr:rowOff>0</xdr:rowOff>
    </xdr:from>
    <xdr:to>
      <xdr:col>8</xdr:col>
      <xdr:colOff>9525</xdr:colOff>
      <xdr:row>10</xdr:row>
      <xdr:rowOff>9525</xdr:rowOff>
    </xdr:to>
    <xdr:pic>
      <xdr:nvPicPr>
        <xdr:cNvPr id="19" name="Picture 106" descr="http://www.surveymonkey.com/i/t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4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</xdr:col>
      <xdr:colOff>0</xdr:colOff>
      <xdr:row>8</xdr:row>
      <xdr:rowOff>0</xdr:rowOff>
    </xdr:from>
    <xdr:to>
      <xdr:col>29</xdr:col>
      <xdr:colOff>9525</xdr:colOff>
      <xdr:row>8</xdr:row>
      <xdr:rowOff>9525</xdr:rowOff>
    </xdr:to>
    <xdr:pic>
      <xdr:nvPicPr>
        <xdr:cNvPr id="20" name="Picture 109" descr="http://www.surveymonkey.com/i/t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0960" y="149352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</xdr:col>
      <xdr:colOff>0</xdr:colOff>
      <xdr:row>14</xdr:row>
      <xdr:rowOff>0</xdr:rowOff>
    </xdr:from>
    <xdr:to>
      <xdr:col>29</xdr:col>
      <xdr:colOff>9525</xdr:colOff>
      <xdr:row>14</xdr:row>
      <xdr:rowOff>9525</xdr:rowOff>
    </xdr:to>
    <xdr:pic>
      <xdr:nvPicPr>
        <xdr:cNvPr id="21" name="Picture 108" descr="http://www.surveymonkey.com/i/t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0960" y="1676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</xdr:col>
      <xdr:colOff>0</xdr:colOff>
      <xdr:row>20</xdr:row>
      <xdr:rowOff>0</xdr:rowOff>
    </xdr:from>
    <xdr:to>
      <xdr:col>29</xdr:col>
      <xdr:colOff>9525</xdr:colOff>
      <xdr:row>20</xdr:row>
      <xdr:rowOff>9525</xdr:rowOff>
    </xdr:to>
    <xdr:pic>
      <xdr:nvPicPr>
        <xdr:cNvPr id="22" name="Picture 107" descr="http://www.surveymonkey.com/i/t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0960" y="18592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</xdr:col>
      <xdr:colOff>0</xdr:colOff>
      <xdr:row>20</xdr:row>
      <xdr:rowOff>0</xdr:rowOff>
    </xdr:from>
    <xdr:to>
      <xdr:col>29</xdr:col>
      <xdr:colOff>9525</xdr:colOff>
      <xdr:row>20</xdr:row>
      <xdr:rowOff>9525</xdr:rowOff>
    </xdr:to>
    <xdr:pic>
      <xdr:nvPicPr>
        <xdr:cNvPr id="29" name="Picture 106" descr="http://www.surveymonkey.com/i/t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0960" y="20421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</xdr:col>
      <xdr:colOff>0</xdr:colOff>
      <xdr:row>26</xdr:row>
      <xdr:rowOff>0</xdr:rowOff>
    </xdr:from>
    <xdr:to>
      <xdr:col>29</xdr:col>
      <xdr:colOff>9525</xdr:colOff>
      <xdr:row>26</xdr:row>
      <xdr:rowOff>9525</xdr:rowOff>
    </xdr:to>
    <xdr:pic>
      <xdr:nvPicPr>
        <xdr:cNvPr id="31" name="Picture 106" descr="http://www.surveymonkey.com/i/t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935" y="195621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thesum.org/" TargetMode="External"/><Relationship Id="rId1" Type="http://schemas.openxmlformats.org/officeDocument/2006/relationships/hyperlink" Target="http://www.thesum.org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39"/>
  <sheetViews>
    <sheetView tabSelected="1" topLeftCell="A88" zoomScale="179" zoomScaleNormal="180" zoomScalePageLayoutView="180" workbookViewId="0">
      <selection activeCell="AD92" sqref="AD92"/>
    </sheetView>
  </sheetViews>
  <sheetFormatPr baseColWidth="10" defaultColWidth="4.6640625" defaultRowHeight="14" customHeight="1"/>
  <cols>
    <col min="1" max="1" width="4.1640625" customWidth="1"/>
    <col min="2" max="2" width="4.6640625" customWidth="1"/>
    <col min="3" max="5" width="4.1640625" customWidth="1"/>
    <col min="6" max="6" width="4.6640625" customWidth="1"/>
    <col min="7" max="9" width="4.1640625" customWidth="1"/>
    <col min="10" max="10" width="4.83203125" customWidth="1"/>
    <col min="11" max="13" width="4.1640625" customWidth="1"/>
    <col min="14" max="14" width="4.83203125" customWidth="1"/>
    <col min="15" max="17" width="4.1640625" customWidth="1"/>
    <col min="18" max="18" width="4.83203125" customWidth="1"/>
    <col min="19" max="21" width="4.1640625" customWidth="1"/>
    <col min="22" max="22" width="4.6640625" customWidth="1"/>
    <col min="23" max="25" width="4.1640625" customWidth="1"/>
    <col min="26" max="26" width="4.83203125" customWidth="1"/>
    <col min="27" max="27" width="4.1640625" customWidth="1"/>
    <col min="28" max="28" width="4.6640625" customWidth="1"/>
    <col min="29" max="29" width="1.1640625" customWidth="1"/>
    <col min="32" max="32" width="5" customWidth="1"/>
    <col min="33" max="33" width="4.6640625" customWidth="1"/>
    <col min="35" max="35" width="7.5" bestFit="1" customWidth="1"/>
    <col min="37" max="37" width="6" customWidth="1"/>
    <col min="38" max="38" width="7.5" bestFit="1" customWidth="1"/>
    <col min="41" max="41" width="4.83203125" customWidth="1"/>
    <col min="42" max="42" width="5.5" customWidth="1"/>
    <col min="45" max="45" width="5.1640625" customWidth="1"/>
    <col min="48" max="48" width="4.6640625" customWidth="1"/>
    <col min="51" max="81" width="4.6640625" style="91"/>
  </cols>
  <sheetData>
    <row r="1" spans="1:81" s="4" customFormat="1" ht="22" customHeight="1">
      <c r="A1" s="179" t="s">
        <v>83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D1" s="2" t="s">
        <v>28</v>
      </c>
      <c r="AF1" s="11"/>
      <c r="AG1" s="11"/>
      <c r="AH1" s="11"/>
      <c r="AI1" s="11"/>
      <c r="AJ1" s="11"/>
      <c r="AK1" s="11"/>
      <c r="AL1" s="11"/>
      <c r="AM1" s="11"/>
      <c r="AN1" s="11"/>
      <c r="AO1" s="3" t="s">
        <v>46</v>
      </c>
      <c r="AP1" s="12"/>
      <c r="AQ1" s="12"/>
      <c r="AR1" s="12"/>
      <c r="AS1" s="11"/>
      <c r="AT1" s="2"/>
      <c r="AU1" s="11"/>
      <c r="AV1" s="5"/>
      <c r="AW1" s="5"/>
      <c r="AX1" s="5"/>
      <c r="AY1" s="89"/>
      <c r="AZ1" s="89"/>
      <c r="BA1" s="89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90"/>
    </row>
    <row r="2" spans="1:81" s="5" customFormat="1" ht="14" customHeight="1">
      <c r="A2" s="128"/>
      <c r="B2" s="128"/>
      <c r="C2" s="178" t="s">
        <v>62</v>
      </c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29"/>
      <c r="AA2" s="129"/>
      <c r="AB2" s="129"/>
      <c r="AC2" s="4"/>
      <c r="AD2" s="2"/>
      <c r="AE2" s="4"/>
      <c r="AF2" s="11"/>
      <c r="AG2" s="11"/>
      <c r="AH2" s="11"/>
      <c r="AI2" s="11"/>
      <c r="AJ2" s="11"/>
      <c r="AK2" s="11"/>
      <c r="AL2" s="11"/>
      <c r="AM2" s="11"/>
      <c r="AN2" s="11"/>
      <c r="AO2" s="3"/>
      <c r="AP2" s="12"/>
      <c r="AQ2" s="12"/>
      <c r="AR2" s="12"/>
      <c r="AS2" s="11"/>
      <c r="AT2" s="2"/>
      <c r="AV2"/>
      <c r="AW2" s="11"/>
      <c r="AX2"/>
      <c r="AY2" s="91"/>
      <c r="AZ2" s="91"/>
      <c r="BA2" s="91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89"/>
    </row>
    <row r="3" spans="1:81" ht="14" customHeight="1">
      <c r="F3" s="183"/>
      <c r="G3" s="183"/>
      <c r="H3" s="183"/>
      <c r="I3" s="183"/>
      <c r="J3" s="183"/>
      <c r="K3" s="81"/>
      <c r="R3" s="82"/>
      <c r="S3" s="82"/>
      <c r="T3" s="82"/>
      <c r="U3" s="82"/>
      <c r="V3" s="4"/>
      <c r="W3" s="180" t="s">
        <v>38</v>
      </c>
      <c r="X3" s="181"/>
      <c r="Y3" s="181"/>
      <c r="Z3" s="181"/>
      <c r="AA3" s="181"/>
      <c r="AB3" s="181"/>
      <c r="AC3" s="4"/>
      <c r="AD3" s="1" t="s">
        <v>55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60"/>
      <c r="AP3" s="14"/>
      <c r="AQ3" s="100" t="s">
        <v>1</v>
      </c>
      <c r="AR3" s="100" t="s">
        <v>47</v>
      </c>
      <c r="AS3" s="101" t="s">
        <v>54</v>
      </c>
      <c r="AT3" s="101" t="s">
        <v>3</v>
      </c>
      <c r="AU3" s="101" t="s">
        <v>4</v>
      </c>
      <c r="AV3" s="102" t="s">
        <v>5</v>
      </c>
      <c r="AW3" s="102" t="s">
        <v>59</v>
      </c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</row>
    <row r="4" spans="1:81" ht="14" customHeight="1">
      <c r="A4" s="182" t="s">
        <v>60</v>
      </c>
      <c r="B4" s="182"/>
      <c r="C4" s="182"/>
      <c r="D4" s="182"/>
      <c r="E4" s="182"/>
      <c r="F4" s="83"/>
      <c r="G4" s="184" t="s">
        <v>82</v>
      </c>
      <c r="H4" s="184"/>
      <c r="I4" s="184"/>
      <c r="J4" s="184"/>
      <c r="K4" s="184"/>
      <c r="L4" s="184"/>
      <c r="M4" s="184"/>
      <c r="N4" s="184"/>
      <c r="O4" s="84"/>
      <c r="P4" s="84"/>
      <c r="Q4" s="84"/>
      <c r="R4" s="84"/>
      <c r="S4" s="82"/>
      <c r="T4" s="82"/>
      <c r="U4" s="82"/>
      <c r="V4" s="82"/>
      <c r="W4" s="4"/>
      <c r="X4" s="4"/>
      <c r="Y4" s="4"/>
      <c r="Z4" s="4"/>
      <c r="AA4" s="4"/>
      <c r="AB4" s="4"/>
      <c r="AC4" s="4"/>
      <c r="AD4" s="11">
        <f>SUM(B46,F46,J46,N46,R46,V46,Z46)</f>
        <v>1</v>
      </c>
      <c r="AE4" s="11" t="s">
        <v>7</v>
      </c>
      <c r="AF4" s="11"/>
      <c r="AG4" s="11">
        <f>SUM(AB46,)</f>
        <v>4</v>
      </c>
      <c r="AH4" s="11"/>
      <c r="AI4" s="11"/>
      <c r="AJ4" s="11"/>
      <c r="AK4" s="11"/>
      <c r="AL4" s="11"/>
      <c r="AM4" s="11"/>
      <c r="AN4" s="11"/>
      <c r="AO4" s="126" t="s">
        <v>12</v>
      </c>
      <c r="AP4" s="50"/>
      <c r="AQ4" s="124">
        <f>SUM(C81)</f>
        <v>3</v>
      </c>
      <c r="AR4" s="125">
        <f>SUM(G81)</f>
        <v>3</v>
      </c>
      <c r="AS4" s="125">
        <f>SUM(K81)</f>
        <v>3</v>
      </c>
      <c r="AT4" s="125">
        <f>SUM(O81)</f>
        <v>2</v>
      </c>
      <c r="AU4" s="125">
        <f>SUM(S81)</f>
        <v>5</v>
      </c>
      <c r="AV4" s="125">
        <f>SUM(W81)</f>
        <v>2</v>
      </c>
      <c r="AW4" s="125">
        <f>SUM(AA81)</f>
        <v>6</v>
      </c>
      <c r="AX4" s="6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</row>
    <row r="5" spans="1:81" ht="14" customHeight="1">
      <c r="A5" s="83"/>
      <c r="B5" s="83"/>
      <c r="C5" s="83"/>
      <c r="D5" s="83"/>
      <c r="E5" s="83"/>
      <c r="F5" s="83"/>
      <c r="G5" s="80"/>
      <c r="H5" s="80"/>
      <c r="I5" s="80"/>
      <c r="J5" s="80"/>
      <c r="K5" s="81"/>
      <c r="L5" s="80"/>
      <c r="M5" s="85"/>
      <c r="N5" s="84"/>
      <c r="O5" s="84"/>
      <c r="P5" s="84"/>
      <c r="Q5" s="84"/>
      <c r="R5" s="84"/>
      <c r="S5" s="82"/>
      <c r="T5" s="82"/>
      <c r="U5" s="82"/>
      <c r="V5" s="82"/>
      <c r="W5" s="4"/>
      <c r="X5" s="4"/>
      <c r="Y5" s="4"/>
      <c r="Z5" s="4"/>
      <c r="AA5" s="4"/>
      <c r="AB5" s="4"/>
      <c r="AC5" s="4"/>
      <c r="AD5" s="11">
        <f>SUM(B47,F47,J47,N47,R47,V47,Z47)</f>
        <v>0</v>
      </c>
      <c r="AE5" s="11" t="s">
        <v>9</v>
      </c>
      <c r="AF5" s="11"/>
      <c r="AG5" s="11">
        <f>SUM(AB47)</f>
        <v>0</v>
      </c>
      <c r="AH5" s="11"/>
      <c r="AI5" s="11"/>
      <c r="AJ5" s="11"/>
      <c r="AK5" s="11"/>
      <c r="AL5" s="11"/>
      <c r="AM5" s="11"/>
      <c r="AN5" s="11"/>
      <c r="AO5" s="65" t="s">
        <v>13</v>
      </c>
      <c r="AP5" s="50"/>
      <c r="AQ5" s="124">
        <f>SUM(C82)</f>
        <v>3</v>
      </c>
      <c r="AR5" s="125">
        <f>SUM(G82)</f>
        <v>2</v>
      </c>
      <c r="AS5" s="125">
        <f>SUM(K82)</f>
        <v>2</v>
      </c>
      <c r="AT5" s="125">
        <f>SUM(O82)</f>
        <v>5</v>
      </c>
      <c r="AU5" s="125">
        <f>SUM(S82)</f>
        <v>2</v>
      </c>
      <c r="AV5" s="125">
        <f>SUM(W82)</f>
        <v>5</v>
      </c>
      <c r="AW5" s="125">
        <f>SUM(AA82)</f>
        <v>5</v>
      </c>
      <c r="AX5" s="6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</row>
    <row r="6" spans="1:81" ht="14" customHeight="1">
      <c r="A6" s="44"/>
      <c r="B6" s="44" t="s">
        <v>53</v>
      </c>
      <c r="C6" s="31"/>
      <c r="D6" s="31"/>
      <c r="E6" s="31"/>
      <c r="F6" s="31"/>
      <c r="G6" s="30"/>
      <c r="I6" s="32" t="s">
        <v>11</v>
      </c>
      <c r="K6" s="33"/>
      <c r="L6" s="80"/>
      <c r="M6" s="85"/>
      <c r="N6" s="84"/>
      <c r="O6" s="84"/>
      <c r="P6" s="84"/>
      <c r="Q6" s="84"/>
      <c r="R6" s="84"/>
      <c r="S6" s="82"/>
      <c r="T6" s="82"/>
      <c r="U6" s="82"/>
      <c r="V6" s="82"/>
      <c r="W6" s="4"/>
      <c r="X6" s="4"/>
      <c r="Y6" s="4"/>
      <c r="Z6" s="4"/>
      <c r="AA6" s="4"/>
      <c r="AB6" s="4"/>
      <c r="AC6" s="4"/>
      <c r="AD6" s="11">
        <f>SUM(B48,F48,J48,N48,R48,V48,Z48)</f>
        <v>0</v>
      </c>
      <c r="AE6" s="11" t="s">
        <v>8</v>
      </c>
      <c r="AF6" s="11"/>
      <c r="AG6" s="11">
        <f>SUM(AB48)</f>
        <v>0</v>
      </c>
      <c r="AH6" s="11"/>
      <c r="AI6" s="11"/>
      <c r="AJ6" s="11"/>
      <c r="AK6" s="11"/>
      <c r="AL6" s="11"/>
      <c r="AM6" s="11"/>
      <c r="AN6" s="11"/>
      <c r="AO6" s="65" t="s">
        <v>14</v>
      </c>
      <c r="AP6" s="50"/>
      <c r="AQ6" s="124">
        <f>SUM(C83)</f>
        <v>2</v>
      </c>
      <c r="AR6" s="125">
        <f>SUM(G83)</f>
        <v>2</v>
      </c>
      <c r="AS6" s="125">
        <f>SUM(K83)</f>
        <v>1</v>
      </c>
      <c r="AT6" s="125">
        <f>SUM(O83)</f>
        <v>2</v>
      </c>
      <c r="AU6" s="125">
        <f>SUM(S83)</f>
        <v>2</v>
      </c>
      <c r="AV6" s="125">
        <f>SUM(W83)</f>
        <v>3</v>
      </c>
      <c r="AW6" s="125">
        <f>SUM(AA83)</f>
        <v>2</v>
      </c>
      <c r="AX6" s="6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</row>
    <row r="7" spans="1:81" ht="14" customHeight="1">
      <c r="A7" s="44"/>
      <c r="B7" s="31" t="s">
        <v>27</v>
      </c>
      <c r="C7" s="31"/>
      <c r="D7" s="31"/>
      <c r="E7" s="31"/>
      <c r="F7" s="31"/>
      <c r="G7" s="31"/>
      <c r="H7" s="37"/>
      <c r="I7" s="123" t="s">
        <v>77</v>
      </c>
      <c r="K7" s="31"/>
      <c r="L7" s="80"/>
      <c r="M7" s="85"/>
      <c r="N7" s="84"/>
      <c r="O7" s="84"/>
      <c r="P7" s="84"/>
      <c r="Q7" s="84"/>
      <c r="R7" s="84"/>
      <c r="S7" s="82"/>
      <c r="T7" s="82"/>
      <c r="U7" s="82"/>
      <c r="V7" s="82"/>
      <c r="W7" s="4"/>
      <c r="X7" s="4"/>
      <c r="Y7" s="4"/>
      <c r="Z7" s="4"/>
      <c r="AA7" s="4"/>
      <c r="AB7" s="4"/>
      <c r="AC7" s="4"/>
      <c r="AD7" s="11">
        <f>SUM(B49,F49,J49,N49,R49,V49,Z49)</f>
        <v>0</v>
      </c>
      <c r="AE7" s="11" t="s">
        <v>0</v>
      </c>
      <c r="AF7" s="11"/>
      <c r="AG7" s="11">
        <f>SUM(AB49)</f>
        <v>0</v>
      </c>
      <c r="AH7" s="11"/>
      <c r="AI7" s="11"/>
      <c r="AJ7" s="11"/>
      <c r="AK7" s="11"/>
      <c r="AL7" s="11"/>
      <c r="AM7" s="11"/>
      <c r="AN7" s="11"/>
      <c r="AO7" s="65" t="s">
        <v>15</v>
      </c>
      <c r="AP7" s="50"/>
      <c r="AQ7" s="124">
        <f>SUM(C84)</f>
        <v>3</v>
      </c>
      <c r="AR7" s="125">
        <f>SUM(G84)</f>
        <v>3</v>
      </c>
      <c r="AS7" s="125">
        <f>SUM(K84)</f>
        <v>1</v>
      </c>
      <c r="AT7" s="125">
        <f>SUM(O84)</f>
        <v>1</v>
      </c>
      <c r="AU7" s="125">
        <f>SUM(S84)</f>
        <v>0</v>
      </c>
      <c r="AV7" s="125">
        <f>SUM(W84)</f>
        <v>6</v>
      </c>
      <c r="AW7" s="125">
        <f>SUM(AA84)</f>
        <v>3</v>
      </c>
      <c r="AX7" s="6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</row>
    <row r="8" spans="1:81" s="6" customFormat="1" ht="14" customHeight="1">
      <c r="B8" s="31" t="s">
        <v>23</v>
      </c>
      <c r="C8" s="31"/>
      <c r="D8" s="31"/>
      <c r="E8" s="31"/>
      <c r="F8" s="31"/>
      <c r="G8" s="31"/>
      <c r="H8" s="36"/>
      <c r="I8" s="123" t="s">
        <v>78</v>
      </c>
      <c r="K8" s="31"/>
      <c r="L8" s="30"/>
      <c r="M8" s="84"/>
      <c r="N8" s="84"/>
      <c r="O8" s="84"/>
      <c r="P8" s="84"/>
      <c r="Q8" s="84"/>
      <c r="R8" s="84"/>
      <c r="S8" s="30"/>
      <c r="T8" s="30"/>
      <c r="U8" s="30"/>
      <c r="V8" s="30"/>
      <c r="W8" s="30"/>
      <c r="X8" s="30"/>
      <c r="Y8" s="31"/>
      <c r="Z8" s="31"/>
      <c r="AA8" s="31"/>
      <c r="AB8" s="31"/>
      <c r="AD8" s="11">
        <f>SUM(B50,F50,J50,N50,R50,V50,Z50)</f>
        <v>4</v>
      </c>
      <c r="AE8" s="11" t="s">
        <v>51</v>
      </c>
      <c r="AF8" s="11"/>
      <c r="AG8" s="11">
        <f>SUM(AB50)</f>
        <v>16</v>
      </c>
      <c r="AH8" s="11"/>
      <c r="AI8" s="11"/>
      <c r="AJ8" s="11"/>
      <c r="AK8" s="11"/>
      <c r="AL8" s="11"/>
      <c r="AM8" s="11"/>
      <c r="AN8" s="11"/>
      <c r="AO8" s="65" t="s">
        <v>52</v>
      </c>
      <c r="AP8" s="11"/>
      <c r="AQ8" s="124">
        <f>SUM(C85)</f>
        <v>8</v>
      </c>
      <c r="AR8" s="125">
        <f>SUM(G85)</f>
        <v>3</v>
      </c>
      <c r="AS8" s="125">
        <f>SUM(K85)</f>
        <v>6</v>
      </c>
      <c r="AT8" s="125">
        <f>SUM(O85)</f>
        <v>6</v>
      </c>
      <c r="AU8" s="125">
        <f>SUM(S85)</f>
        <v>7</v>
      </c>
      <c r="AV8" s="125">
        <f>SUM(W85)</f>
        <v>6</v>
      </c>
      <c r="AW8" s="125">
        <f>SUM(AA85)</f>
        <v>7</v>
      </c>
      <c r="AY8" s="13"/>
      <c r="AZ8" s="13"/>
      <c r="BA8" s="13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92"/>
      <c r="CA8" s="92"/>
      <c r="CB8" s="92"/>
      <c r="CC8" s="13"/>
    </row>
    <row r="9" spans="1:81" s="6" customFormat="1" ht="14" customHeight="1">
      <c r="B9" s="31" t="s">
        <v>24</v>
      </c>
      <c r="C9" s="31"/>
      <c r="D9" s="31"/>
      <c r="E9" s="31"/>
      <c r="F9" s="31"/>
      <c r="G9" s="31"/>
      <c r="H9" s="64"/>
      <c r="I9" s="123" t="s">
        <v>79</v>
      </c>
      <c r="K9" s="31"/>
      <c r="L9" s="33"/>
      <c r="M9" s="33"/>
      <c r="N9" s="33"/>
      <c r="O9" s="33"/>
      <c r="P9" s="31"/>
      <c r="Q9" s="31"/>
      <c r="R9" s="31"/>
      <c r="S9" s="31"/>
      <c r="T9" s="31"/>
      <c r="U9" s="31"/>
      <c r="V9" s="31"/>
      <c r="W9" s="31"/>
      <c r="AD9" s="3" t="s">
        <v>56</v>
      </c>
      <c r="AE9" s="11"/>
      <c r="AF9" s="11"/>
      <c r="AG9" s="11"/>
      <c r="AH9" s="11"/>
      <c r="AI9" s="11"/>
      <c r="AJ9" s="11"/>
      <c r="AK9" s="11"/>
      <c r="AL9" s="11"/>
      <c r="AM9" s="11"/>
      <c r="AN9" s="11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</row>
    <row r="10" spans="1:81" s="6" customFormat="1" ht="14" customHeight="1">
      <c r="B10" s="31" t="s">
        <v>25</v>
      </c>
      <c r="C10" s="31"/>
      <c r="D10" s="31"/>
      <c r="E10" s="31"/>
      <c r="F10" s="31"/>
      <c r="G10" s="31"/>
      <c r="H10" s="34"/>
      <c r="I10" s="123" t="s">
        <v>80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AD10" s="11">
        <f>SUM(B53,F53,J53,N53,R53,V53,Z53)</f>
        <v>2</v>
      </c>
      <c r="AE10" s="11" t="s">
        <v>7</v>
      </c>
      <c r="AF10" s="11"/>
      <c r="AG10" s="11">
        <f>SUM(AB53)</f>
        <v>6</v>
      </c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</row>
    <row r="11" spans="1:81" s="6" customFormat="1" ht="14" customHeight="1">
      <c r="B11" s="31" t="s">
        <v>26</v>
      </c>
      <c r="C11" s="31"/>
      <c r="D11" s="31"/>
      <c r="E11" s="31"/>
      <c r="F11" s="31"/>
      <c r="G11" s="31"/>
      <c r="H11" s="35"/>
      <c r="I11" s="123" t="s">
        <v>81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AD11" s="11">
        <f>SUM(W54,F54,J54,N54,R54,V54,Z54)</f>
        <v>6</v>
      </c>
      <c r="AE11" s="11" t="s">
        <v>9</v>
      </c>
      <c r="AF11" s="11"/>
      <c r="AG11" s="11">
        <f>SUM(AB54)</f>
        <v>9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Y11" s="93"/>
      <c r="AZ11" s="93"/>
      <c r="BA11" s="9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</row>
    <row r="12" spans="1:81" s="6" customFormat="1" ht="14" customHeight="1">
      <c r="C12" s="31"/>
      <c r="D12" s="31"/>
      <c r="E12" s="31"/>
      <c r="F12" s="31"/>
      <c r="G12" s="31"/>
      <c r="K12" s="7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AD12" s="11">
        <f>SUM(B55,F55,J55,N55,V55,Z55)</f>
        <v>0</v>
      </c>
      <c r="AE12" s="11" t="s">
        <v>8</v>
      </c>
      <c r="AF12" s="11"/>
      <c r="AG12" s="11">
        <f>SUM(AB55)</f>
        <v>0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</row>
    <row r="13" spans="1:81" s="6" customFormat="1" ht="14" customHeight="1"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AD13" s="11">
        <f>SUM(B56,F56,J56,N56,R56,V56,Z56)</f>
        <v>2</v>
      </c>
      <c r="AE13" s="11" t="s">
        <v>0</v>
      </c>
      <c r="AF13" s="11"/>
      <c r="AG13" s="11">
        <f>SUM(AB56)</f>
        <v>6</v>
      </c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</row>
    <row r="14" spans="1:81" s="6" customFormat="1" ht="14" customHeight="1">
      <c r="B14" s="4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AC14" s="7"/>
      <c r="AD14" s="11">
        <f>SUM(B57,F57,J57,N57,R57,V57,Z57)</f>
        <v>8</v>
      </c>
      <c r="AE14" s="11" t="s">
        <v>51</v>
      </c>
      <c r="AF14" s="11"/>
      <c r="AG14" s="11">
        <f>SUM(AB57)</f>
        <v>24</v>
      </c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</row>
    <row r="15" spans="1:81" s="6" customFormat="1" ht="14" customHeight="1">
      <c r="A15" s="7"/>
      <c r="B15" s="76" t="s">
        <v>39</v>
      </c>
      <c r="C15" s="45"/>
      <c r="D15" s="45"/>
      <c r="E15" s="45"/>
      <c r="F15" s="45"/>
      <c r="G15" s="45"/>
      <c r="I15" s="44" t="s">
        <v>31</v>
      </c>
      <c r="L15" s="45"/>
      <c r="M15" s="45"/>
      <c r="N15" s="45"/>
      <c r="O15" s="45"/>
      <c r="P15" s="104"/>
      <c r="Q15" s="45"/>
      <c r="R15" s="45"/>
      <c r="S15" s="45"/>
      <c r="T15" s="45"/>
      <c r="U15" s="45"/>
      <c r="V15" s="45"/>
      <c r="W15" s="45"/>
      <c r="X15" s="7"/>
      <c r="Y15" s="7"/>
      <c r="Z15" s="7"/>
      <c r="AA15" s="7"/>
      <c r="AB15" s="7"/>
      <c r="AD15" s="3" t="s">
        <v>57</v>
      </c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</row>
    <row r="16" spans="1:81" s="9" customFormat="1" ht="14" customHeight="1">
      <c r="A16" s="6"/>
      <c r="B16" s="31" t="s">
        <v>16</v>
      </c>
      <c r="C16" s="6"/>
      <c r="D16" s="6"/>
      <c r="E16" s="6"/>
      <c r="F16" s="6"/>
      <c r="G16" s="6"/>
      <c r="H16" s="6"/>
      <c r="I16" s="31" t="s">
        <v>32</v>
      </c>
      <c r="J16" s="6"/>
      <c r="K16" s="6"/>
      <c r="L16" s="6"/>
      <c r="M16" s="10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11">
        <f>SUM(B60,F60,J60,N60,R60,V60,Z60)</f>
        <v>4</v>
      </c>
      <c r="AE16" s="11" t="s">
        <v>7</v>
      </c>
      <c r="AF16" s="11"/>
      <c r="AG16" s="11">
        <f>SUM(AB60)</f>
        <v>8</v>
      </c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6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93"/>
    </row>
    <row r="17" spans="2:81" s="6" customFormat="1" ht="14" customHeight="1">
      <c r="B17" s="31" t="s">
        <v>19</v>
      </c>
      <c r="C17" s="31"/>
      <c r="D17" s="31"/>
      <c r="E17" s="31"/>
      <c r="F17" s="31"/>
      <c r="G17" s="31"/>
      <c r="I17" s="31" t="s">
        <v>33</v>
      </c>
      <c r="J17" s="9"/>
      <c r="K17" s="31"/>
      <c r="L17" s="31"/>
      <c r="M17" s="31"/>
      <c r="N17" s="31"/>
      <c r="O17" s="31"/>
      <c r="Q17" s="31"/>
      <c r="R17" s="31"/>
      <c r="S17" s="31"/>
      <c r="T17" s="31"/>
      <c r="U17" s="31"/>
      <c r="AD17" s="11">
        <f>SUM(B61,F61,J61,N61,R61,V61,Z61)</f>
        <v>4</v>
      </c>
      <c r="AE17" s="11" t="s">
        <v>9</v>
      </c>
      <c r="AF17" s="11"/>
      <c r="AG17" s="11">
        <f>SUM(AB61)</f>
        <v>8</v>
      </c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</row>
    <row r="18" spans="2:81" s="6" customFormat="1" ht="14" customHeight="1">
      <c r="B18" s="31" t="s">
        <v>21</v>
      </c>
      <c r="C18" s="31"/>
      <c r="D18" s="31"/>
      <c r="F18" s="31"/>
      <c r="G18" s="31"/>
      <c r="H18" s="31"/>
      <c r="I18" s="31" t="s">
        <v>34</v>
      </c>
      <c r="K18" s="31"/>
      <c r="L18" s="31"/>
      <c r="M18" s="31"/>
      <c r="N18" s="31"/>
      <c r="O18" s="31"/>
      <c r="Q18" s="31"/>
      <c r="R18" s="31"/>
      <c r="S18" s="31"/>
      <c r="T18" s="31"/>
      <c r="U18" s="31"/>
      <c r="AD18" s="11">
        <f>SUM(B62,F62,J62,N62,R62,V62,Z62)</f>
        <v>4</v>
      </c>
      <c r="AE18" s="11" t="s">
        <v>8</v>
      </c>
      <c r="AF18" s="11"/>
      <c r="AG18" s="11">
        <f>SUM(AB62)</f>
        <v>8</v>
      </c>
      <c r="AH18" s="11"/>
      <c r="AI18" s="11"/>
      <c r="AJ18" s="11"/>
      <c r="AK18" s="11"/>
      <c r="AL18" s="11"/>
      <c r="AM18" s="11"/>
      <c r="AN18" s="11"/>
      <c r="AO18" s="12"/>
      <c r="AP18" s="11"/>
      <c r="AQ18" s="11"/>
      <c r="AR18" s="11"/>
      <c r="AS18" s="11"/>
      <c r="AT18" s="11"/>
      <c r="AU18" s="11"/>
      <c r="AV18" s="11"/>
      <c r="AW18" s="11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</row>
    <row r="19" spans="2:81" s="6" customFormat="1" ht="14" customHeight="1">
      <c r="C19" s="31"/>
      <c r="D19" s="31"/>
      <c r="E19" s="31"/>
      <c r="F19" s="31"/>
      <c r="G19" s="31"/>
      <c r="H19" s="31"/>
      <c r="I19" s="31" t="s">
        <v>35</v>
      </c>
      <c r="K19" s="31"/>
      <c r="L19" s="31"/>
      <c r="M19" s="31"/>
      <c r="N19" s="31"/>
      <c r="O19" s="45"/>
      <c r="P19" s="31"/>
      <c r="Q19" s="31"/>
      <c r="R19" s="31"/>
      <c r="S19" s="31"/>
      <c r="T19" s="31"/>
      <c r="U19" s="31"/>
      <c r="AD19" s="11">
        <f>SUM(B63,F63,J63,N63,R63,V63,Z63)</f>
        <v>3</v>
      </c>
      <c r="AE19" s="11" t="s">
        <v>0</v>
      </c>
      <c r="AF19" s="11"/>
      <c r="AG19" s="11">
        <f>SUM(AB63)</f>
        <v>6</v>
      </c>
      <c r="AH19" s="11"/>
      <c r="AI19" s="11"/>
      <c r="AJ19" s="11"/>
      <c r="AK19" s="11"/>
      <c r="AL19" s="11"/>
      <c r="AM19" s="11"/>
      <c r="AN19" s="11"/>
      <c r="AO19" s="12"/>
      <c r="AP19" s="11"/>
      <c r="AQ19" s="11"/>
      <c r="AR19" s="11"/>
      <c r="AS19" s="11"/>
      <c r="AT19" s="11"/>
      <c r="AU19" s="11"/>
      <c r="AV19" s="39"/>
      <c r="AW19" s="39"/>
      <c r="AX19" s="4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</row>
    <row r="20" spans="2:81" s="6" customFormat="1" ht="14" customHeight="1">
      <c r="B20" s="31"/>
      <c r="C20" s="31"/>
      <c r="D20" s="31"/>
      <c r="E20" s="31"/>
      <c r="F20" s="31"/>
      <c r="G20" s="31"/>
      <c r="H20" s="31"/>
      <c r="I20" s="31" t="s">
        <v>50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AD20" s="11">
        <f>SUM(B64,F64,J64,N64,R64,V64,Z64)</f>
        <v>1</v>
      </c>
      <c r="AE20" s="11" t="s">
        <v>51</v>
      </c>
      <c r="AF20" s="11"/>
      <c r="AG20" s="11">
        <f>SUM(AB64)</f>
        <v>2</v>
      </c>
      <c r="AH20" s="11"/>
      <c r="AI20" s="11"/>
      <c r="AJ20" s="11"/>
      <c r="AK20" s="11"/>
      <c r="AL20" s="11"/>
      <c r="AM20" s="11"/>
      <c r="AN20" s="11"/>
      <c r="AO20" s="12"/>
      <c r="AP20" s="11"/>
      <c r="AQ20" s="11"/>
      <c r="AR20" s="11"/>
      <c r="AS20" s="11"/>
      <c r="AT20" s="11"/>
      <c r="AU20" s="39"/>
      <c r="AV20" s="39"/>
      <c r="AW20" s="39"/>
      <c r="AX20" s="4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</row>
    <row r="21" spans="2:81" s="6" customFormat="1" ht="14" customHeight="1">
      <c r="B21" s="31"/>
      <c r="C21" s="31"/>
      <c r="D21" s="31"/>
      <c r="E21" s="31"/>
      <c r="F21" s="31"/>
      <c r="G21" s="31"/>
      <c r="H21" s="45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AD21" s="3" t="s">
        <v>63</v>
      </c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2"/>
      <c r="AP21" s="39"/>
      <c r="AQ21" s="39"/>
      <c r="AR21" s="39"/>
      <c r="AS21" s="39"/>
      <c r="AT21" s="39"/>
      <c r="AU21" s="39"/>
      <c r="AV21" s="39"/>
      <c r="AW21" s="39"/>
      <c r="AX21" s="4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</row>
    <row r="22" spans="2:81" s="6" customFormat="1" ht="14" customHeight="1">
      <c r="B22" s="31"/>
      <c r="C22" s="31"/>
      <c r="D22" s="31"/>
      <c r="E22" s="31"/>
      <c r="F22" s="31"/>
      <c r="G22" s="31"/>
      <c r="H22" s="31"/>
      <c r="I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AD22" s="11">
        <f>SUM(B67,F67,J67,N67,R67,V67,Z67)</f>
        <v>6</v>
      </c>
      <c r="AE22" s="11" t="s">
        <v>7</v>
      </c>
      <c r="AF22" s="11"/>
      <c r="AG22" s="11">
        <f>SUM(AB67)</f>
        <v>6</v>
      </c>
      <c r="AH22" s="11"/>
      <c r="AI22" s="11"/>
      <c r="AJ22" s="11"/>
      <c r="AK22" s="11"/>
      <c r="AL22" s="11"/>
      <c r="AM22" s="11"/>
      <c r="AN22" s="11"/>
      <c r="AO22" s="39"/>
      <c r="AP22" s="39"/>
      <c r="AQ22" s="39"/>
      <c r="AR22" s="39"/>
      <c r="AS22" s="39"/>
      <c r="AT22" s="39"/>
      <c r="AU22" s="39"/>
      <c r="AV22" s="39"/>
      <c r="AW22" s="39"/>
      <c r="AX22" s="4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</row>
    <row r="23" spans="2:81" s="6" customFormat="1" ht="14" customHeight="1"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AD23" s="11">
        <f>SUM(B68,F68,J68,N68,R68,V68,Z68)</f>
        <v>7</v>
      </c>
      <c r="AE23" s="11" t="s">
        <v>9</v>
      </c>
      <c r="AF23" s="11"/>
      <c r="AG23" s="11">
        <f>SUM(AB68)</f>
        <v>7</v>
      </c>
      <c r="AH23" s="11"/>
      <c r="AI23" s="11"/>
      <c r="AJ23" s="11"/>
      <c r="AK23" s="11"/>
      <c r="AL23" s="11"/>
      <c r="AM23" s="11"/>
      <c r="AN23" s="11"/>
      <c r="AO23" s="39"/>
      <c r="AP23" s="39"/>
      <c r="AQ23" s="39"/>
      <c r="AR23" s="39"/>
      <c r="AS23" s="39"/>
      <c r="AT23" s="39"/>
      <c r="AU23" s="39"/>
      <c r="AV23" s="39"/>
      <c r="AW23" s="39"/>
      <c r="AX23" s="43"/>
      <c r="AY23" s="94"/>
      <c r="AZ23" s="94"/>
      <c r="BA23" s="94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</row>
    <row r="24" spans="2:81" s="6" customFormat="1" ht="14" customHeight="1" thickBot="1">
      <c r="E24" s="44" t="s">
        <v>36</v>
      </c>
      <c r="F24" s="31"/>
      <c r="G24" s="31"/>
      <c r="H24" s="31"/>
      <c r="I24" s="31"/>
      <c r="J24" s="31"/>
      <c r="K24" s="31"/>
      <c r="L24" s="31"/>
      <c r="M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AD24" s="11">
        <f>SUM(B69,F69,J69,N69,R69,V69,Z69)</f>
        <v>6</v>
      </c>
      <c r="AE24" s="11" t="s">
        <v>8</v>
      </c>
      <c r="AF24" s="11"/>
      <c r="AG24" s="11">
        <f>SUM(AB69)</f>
        <v>6</v>
      </c>
      <c r="AH24" s="11"/>
      <c r="AI24" s="39"/>
      <c r="AJ24" s="39"/>
      <c r="AK24" s="39"/>
      <c r="AL24" s="11"/>
      <c r="AM24" s="11"/>
      <c r="AN24" s="11"/>
      <c r="AO24" s="39"/>
      <c r="AP24" s="39"/>
      <c r="AQ24" s="39"/>
      <c r="AR24" s="39"/>
      <c r="AS24" s="39"/>
      <c r="AT24" s="39"/>
      <c r="AU24" s="39"/>
      <c r="AV24" s="39"/>
      <c r="AW24" s="39"/>
      <c r="AX24" s="43"/>
      <c r="AY24" s="94"/>
      <c r="AZ24" s="94"/>
      <c r="BA24" s="94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</row>
    <row r="25" spans="2:81" s="6" customFormat="1" ht="14" customHeight="1">
      <c r="E25" s="17" t="s">
        <v>1</v>
      </c>
      <c r="F25" s="18"/>
      <c r="G25" s="19"/>
      <c r="H25" s="17" t="s">
        <v>2</v>
      </c>
      <c r="I25" s="20"/>
      <c r="J25" s="21"/>
      <c r="K25" s="22" t="s">
        <v>84</v>
      </c>
      <c r="L25" s="20"/>
      <c r="M25" s="21"/>
      <c r="N25" s="22" t="s">
        <v>3</v>
      </c>
      <c r="O25" s="20"/>
      <c r="P25" s="21"/>
      <c r="Q25" s="22" t="s">
        <v>4</v>
      </c>
      <c r="R25" s="20"/>
      <c r="S25" s="21"/>
      <c r="T25" s="22" t="s">
        <v>5</v>
      </c>
      <c r="U25" s="20"/>
      <c r="V25" s="21"/>
      <c r="W25" s="22" t="s">
        <v>6</v>
      </c>
      <c r="X25" s="20"/>
      <c r="Y25" s="19"/>
      <c r="Z25" s="106"/>
      <c r="AA25" s="106"/>
      <c r="AB25" s="106"/>
      <c r="AC25" s="106"/>
      <c r="AD25" s="11">
        <f>SUM(B70,F70,J70,N70,R70,V70,Z70)</f>
        <v>4</v>
      </c>
      <c r="AE25" s="11" t="s">
        <v>0</v>
      </c>
      <c r="AF25" s="11"/>
      <c r="AG25" s="11">
        <f>SUM(AB70)</f>
        <v>4</v>
      </c>
      <c r="AH25" s="11"/>
      <c r="AI25" s="11"/>
      <c r="AJ25" s="11"/>
      <c r="AK25" s="11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43"/>
      <c r="AY25" s="94"/>
      <c r="AZ25" s="94"/>
      <c r="BA25" s="94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</row>
    <row r="26" spans="2:81" s="6" customFormat="1" ht="14" customHeight="1" thickBot="1">
      <c r="E26" s="23" t="s">
        <v>17</v>
      </c>
      <c r="F26" s="24" t="s">
        <v>18</v>
      </c>
      <c r="G26" s="25" t="s">
        <v>20</v>
      </c>
      <c r="H26" s="23" t="s">
        <v>17</v>
      </c>
      <c r="I26" s="24" t="s">
        <v>18</v>
      </c>
      <c r="J26" s="25" t="s">
        <v>20</v>
      </c>
      <c r="K26" s="23" t="s">
        <v>17</v>
      </c>
      <c r="L26" s="24" t="s">
        <v>18</v>
      </c>
      <c r="M26" s="25" t="s">
        <v>20</v>
      </c>
      <c r="N26" s="23" t="s">
        <v>17</v>
      </c>
      <c r="O26" s="24" t="s">
        <v>18</v>
      </c>
      <c r="P26" s="25" t="s">
        <v>20</v>
      </c>
      <c r="Q26" s="23" t="s">
        <v>17</v>
      </c>
      <c r="R26" s="24" t="s">
        <v>18</v>
      </c>
      <c r="S26" s="25" t="s">
        <v>20</v>
      </c>
      <c r="T26" s="23" t="s">
        <v>17</v>
      </c>
      <c r="U26" s="24" t="s">
        <v>18</v>
      </c>
      <c r="V26" s="25" t="s">
        <v>20</v>
      </c>
      <c r="W26" s="23" t="s">
        <v>17</v>
      </c>
      <c r="X26" s="24" t="s">
        <v>18</v>
      </c>
      <c r="Y26" s="25" t="s">
        <v>20</v>
      </c>
      <c r="Z26" s="62"/>
      <c r="AA26" s="62"/>
      <c r="AB26" s="62"/>
      <c r="AC26" s="62"/>
      <c r="AD26" s="11">
        <f>SUM(B71,F71,J71,N71,R71,V71,Z71)</f>
        <v>1</v>
      </c>
      <c r="AE26" s="11" t="s">
        <v>51</v>
      </c>
      <c r="AF26" s="11"/>
      <c r="AG26" s="11">
        <f>SUM(AB71)</f>
        <v>1</v>
      </c>
      <c r="AH26" s="11"/>
      <c r="AI26" s="11"/>
      <c r="AJ26" s="11"/>
      <c r="AK26" s="11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43"/>
      <c r="AY26" s="94"/>
      <c r="AZ26" s="94"/>
      <c r="BA26" s="94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</row>
    <row r="27" spans="2:81" s="6" customFormat="1" ht="14" customHeight="1">
      <c r="B27" s="43"/>
      <c r="E27" s="145">
        <v>1</v>
      </c>
      <c r="F27" s="146" t="s">
        <v>65</v>
      </c>
      <c r="G27" s="132" t="s">
        <v>7</v>
      </c>
      <c r="H27" s="145">
        <v>6</v>
      </c>
      <c r="I27" s="146" t="s">
        <v>66</v>
      </c>
      <c r="J27" s="132" t="s">
        <v>7</v>
      </c>
      <c r="K27" s="145">
        <v>11</v>
      </c>
      <c r="L27" s="146" t="s">
        <v>66</v>
      </c>
      <c r="M27" s="132" t="s">
        <v>9</v>
      </c>
      <c r="N27" s="145">
        <v>16</v>
      </c>
      <c r="O27" s="146" t="s">
        <v>61</v>
      </c>
      <c r="P27" s="132" t="s">
        <v>7</v>
      </c>
      <c r="Q27" s="145">
        <v>21</v>
      </c>
      <c r="R27" s="146" t="s">
        <v>0</v>
      </c>
      <c r="S27" s="132" t="s">
        <v>51</v>
      </c>
      <c r="T27" s="145">
        <v>26</v>
      </c>
      <c r="U27" s="146" t="s">
        <v>65</v>
      </c>
      <c r="V27" s="132" t="s">
        <v>8</v>
      </c>
      <c r="W27" s="145">
        <v>31</v>
      </c>
      <c r="X27" s="146" t="s">
        <v>65</v>
      </c>
      <c r="Y27" s="132" t="s">
        <v>0</v>
      </c>
      <c r="Z27" s="107"/>
      <c r="AA27" s="107"/>
      <c r="AB27" s="107"/>
      <c r="AC27" s="107"/>
      <c r="AD27" s="3" t="s">
        <v>58</v>
      </c>
      <c r="AE27" s="11"/>
      <c r="AF27" s="11"/>
      <c r="AG27" s="11"/>
      <c r="AH27" s="11"/>
      <c r="AI27" s="11"/>
      <c r="AJ27" s="11"/>
      <c r="AK27" s="11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43"/>
      <c r="AY27" s="94"/>
      <c r="AZ27" s="94"/>
      <c r="BA27" s="94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</row>
    <row r="28" spans="2:81" s="43" customFormat="1" ht="14" customHeight="1">
      <c r="E28" s="136">
        <v>2</v>
      </c>
      <c r="F28" s="137" t="s">
        <v>66</v>
      </c>
      <c r="G28" s="133" t="s">
        <v>8</v>
      </c>
      <c r="H28" s="136">
        <v>7</v>
      </c>
      <c r="I28" s="137" t="s">
        <v>66</v>
      </c>
      <c r="J28" s="133" t="s">
        <v>0</v>
      </c>
      <c r="K28" s="136">
        <v>12</v>
      </c>
      <c r="L28" s="137" t="s">
        <v>65</v>
      </c>
      <c r="M28" s="133" t="s">
        <v>7</v>
      </c>
      <c r="N28" s="136">
        <v>17</v>
      </c>
      <c r="O28" s="137" t="s">
        <v>66</v>
      </c>
      <c r="P28" s="133" t="s">
        <v>8</v>
      </c>
      <c r="Q28" s="136">
        <v>22</v>
      </c>
      <c r="R28" s="137" t="s">
        <v>0</v>
      </c>
      <c r="S28" s="133" t="s">
        <v>7</v>
      </c>
      <c r="T28" s="136">
        <v>27</v>
      </c>
      <c r="U28" s="137" t="s">
        <v>66</v>
      </c>
      <c r="V28" s="133" t="s">
        <v>7</v>
      </c>
      <c r="W28" s="136">
        <v>32</v>
      </c>
      <c r="X28" s="137" t="s">
        <v>64</v>
      </c>
      <c r="Y28" s="133" t="s">
        <v>51</v>
      </c>
      <c r="Z28" s="108"/>
      <c r="AA28" s="108"/>
      <c r="AB28" s="108"/>
      <c r="AC28" s="108"/>
      <c r="AD28" s="11">
        <f>SUM(B74,F74,J74,N74,R74,V74,Z74)</f>
        <v>1</v>
      </c>
      <c r="AE28" s="11" t="s">
        <v>7</v>
      </c>
      <c r="AF28" s="11"/>
      <c r="AG28" s="11">
        <f>SUM(AB74)</f>
        <v>0</v>
      </c>
      <c r="AH28" s="11"/>
      <c r="AI28" s="11"/>
      <c r="AJ28" s="11"/>
      <c r="AK28" s="11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Y28" s="94"/>
      <c r="AZ28" s="94"/>
      <c r="BA28" s="94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94"/>
    </row>
    <row r="29" spans="2:81" s="43" customFormat="1" ht="14" customHeight="1">
      <c r="E29" s="136">
        <v>3</v>
      </c>
      <c r="F29" s="137" t="s">
        <v>0</v>
      </c>
      <c r="G29" s="133" t="s">
        <v>51</v>
      </c>
      <c r="H29" s="136">
        <v>8</v>
      </c>
      <c r="I29" s="137" t="s">
        <v>61</v>
      </c>
      <c r="J29" s="133" t="s">
        <v>8</v>
      </c>
      <c r="K29" s="136">
        <v>13</v>
      </c>
      <c r="L29" s="137" t="s">
        <v>61</v>
      </c>
      <c r="M29" s="133" t="s">
        <v>0</v>
      </c>
      <c r="N29" s="136">
        <v>18</v>
      </c>
      <c r="O29" s="137" t="s">
        <v>64</v>
      </c>
      <c r="P29" s="133" t="s">
        <v>51</v>
      </c>
      <c r="Q29" s="136">
        <v>23</v>
      </c>
      <c r="R29" s="137" t="s">
        <v>66</v>
      </c>
      <c r="S29" s="133" t="s">
        <v>9</v>
      </c>
      <c r="T29" s="136">
        <v>28</v>
      </c>
      <c r="U29" s="137" t="s">
        <v>64</v>
      </c>
      <c r="V29" s="133" t="s">
        <v>51</v>
      </c>
      <c r="W29" s="136">
        <v>33</v>
      </c>
      <c r="X29" s="137" t="s">
        <v>65</v>
      </c>
      <c r="Y29" s="133" t="s">
        <v>9</v>
      </c>
      <c r="Z29" s="108"/>
      <c r="AA29" s="108"/>
      <c r="AB29" s="108"/>
      <c r="AC29" s="108"/>
      <c r="AD29" s="11">
        <f>SUM(B75,F75,J75,N75,R75,V75,Z75)</f>
        <v>0</v>
      </c>
      <c r="AE29" s="11" t="s">
        <v>9</v>
      </c>
      <c r="AF29" s="11"/>
      <c r="AG29" s="11">
        <f>SUM(AB75)</f>
        <v>0</v>
      </c>
      <c r="AH29" s="11"/>
      <c r="AI29" s="11"/>
      <c r="AJ29" s="11"/>
      <c r="AK29" s="11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Y29" s="94"/>
      <c r="AZ29" s="94"/>
      <c r="BA29" s="94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94"/>
    </row>
    <row r="30" spans="2:81" s="43" customFormat="1" ht="14" customHeight="1">
      <c r="E30" s="136">
        <v>4</v>
      </c>
      <c r="F30" s="137" t="s">
        <v>66</v>
      </c>
      <c r="G30" s="133" t="s">
        <v>9</v>
      </c>
      <c r="H30" s="136">
        <v>9</v>
      </c>
      <c r="I30" s="137" t="s">
        <v>66</v>
      </c>
      <c r="J30" s="133" t="s">
        <v>9</v>
      </c>
      <c r="K30" s="136">
        <v>14</v>
      </c>
      <c r="L30" s="137" t="s">
        <v>61</v>
      </c>
      <c r="M30" s="133" t="s">
        <v>8</v>
      </c>
      <c r="N30" s="136">
        <v>19</v>
      </c>
      <c r="O30" s="137" t="s">
        <v>64</v>
      </c>
      <c r="P30" s="133" t="s">
        <v>9</v>
      </c>
      <c r="Q30" s="136">
        <v>24</v>
      </c>
      <c r="R30" s="137" t="s">
        <v>61</v>
      </c>
      <c r="S30" s="133" t="s">
        <v>0</v>
      </c>
      <c r="T30" s="136">
        <v>29</v>
      </c>
      <c r="U30" s="137" t="s">
        <v>65</v>
      </c>
      <c r="V30" s="133" t="s">
        <v>9</v>
      </c>
      <c r="W30" s="136">
        <v>34</v>
      </c>
      <c r="X30" s="137" t="s">
        <v>66</v>
      </c>
      <c r="Y30" s="133" t="s">
        <v>8</v>
      </c>
      <c r="Z30" s="108"/>
      <c r="AA30" s="108"/>
      <c r="AB30" s="108"/>
      <c r="AC30" s="108"/>
      <c r="AD30" s="11">
        <f>SUM(B76,F76,J76,N76,R76,V76,Z76)</f>
        <v>4</v>
      </c>
      <c r="AE30" s="11" t="s">
        <v>8</v>
      </c>
      <c r="AF30" s="11"/>
      <c r="AG30" s="11">
        <f>SUM(AB76)</f>
        <v>0</v>
      </c>
      <c r="AH30" s="11"/>
      <c r="AI30" s="11"/>
      <c r="AJ30" s="11"/>
      <c r="AK30" s="11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Y30" s="94"/>
      <c r="AZ30" s="94"/>
      <c r="BA30" s="94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94"/>
    </row>
    <row r="31" spans="2:81" s="43" customFormat="1" ht="14" customHeight="1">
      <c r="E31" s="136">
        <v>5</v>
      </c>
      <c r="F31" s="137" t="s">
        <v>64</v>
      </c>
      <c r="G31" s="133" t="s">
        <v>0</v>
      </c>
      <c r="H31" s="136">
        <v>10</v>
      </c>
      <c r="I31" s="137" t="s">
        <v>65</v>
      </c>
      <c r="J31" s="133" t="s">
        <v>51</v>
      </c>
      <c r="K31" s="136">
        <v>15</v>
      </c>
      <c r="L31" s="137" t="s">
        <v>64</v>
      </c>
      <c r="M31" s="133" t="s">
        <v>51</v>
      </c>
      <c r="N31" s="136">
        <v>20</v>
      </c>
      <c r="O31" s="137" t="s">
        <v>66</v>
      </c>
      <c r="P31" s="133" t="s">
        <v>0</v>
      </c>
      <c r="Q31" s="136">
        <v>25</v>
      </c>
      <c r="R31" s="137" t="s">
        <v>61</v>
      </c>
      <c r="S31" s="133" t="s">
        <v>8</v>
      </c>
      <c r="T31" s="136">
        <v>30</v>
      </c>
      <c r="U31" s="137" t="s">
        <v>65</v>
      </c>
      <c r="V31" s="133" t="s">
        <v>0</v>
      </c>
      <c r="W31" s="136">
        <v>35</v>
      </c>
      <c r="X31" s="137" t="s">
        <v>64</v>
      </c>
      <c r="Y31" s="133" t="s">
        <v>7</v>
      </c>
      <c r="Z31" s="108"/>
      <c r="AA31" s="108"/>
      <c r="AB31" s="108"/>
      <c r="AC31" s="108"/>
      <c r="AD31" s="11">
        <f>SUM(B77,F77,J77,N77,R77,V77,Z77)</f>
        <v>5</v>
      </c>
      <c r="AE31" s="11" t="s">
        <v>0</v>
      </c>
      <c r="AF31" s="11"/>
      <c r="AG31" s="11">
        <f>SUM(AB77)</f>
        <v>0</v>
      </c>
      <c r="AH31" s="11"/>
      <c r="AI31" s="11"/>
      <c r="AJ31" s="11"/>
      <c r="AK31" s="11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Y31" s="94"/>
      <c r="AZ31" s="94"/>
      <c r="BA31" s="94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94"/>
    </row>
    <row r="32" spans="2:81" s="43" customFormat="1" ht="14" customHeight="1">
      <c r="E32" s="136">
        <v>66</v>
      </c>
      <c r="F32" s="137" t="s">
        <v>61</v>
      </c>
      <c r="G32" s="133" t="s">
        <v>0</v>
      </c>
      <c r="H32" s="136">
        <v>56</v>
      </c>
      <c r="I32" s="137" t="s">
        <v>65</v>
      </c>
      <c r="J32" s="133" t="s">
        <v>8</v>
      </c>
      <c r="K32" s="136">
        <v>51</v>
      </c>
      <c r="L32" s="137" t="s">
        <v>66</v>
      </c>
      <c r="M32" s="133" t="s">
        <v>9</v>
      </c>
      <c r="N32" s="136">
        <v>46</v>
      </c>
      <c r="O32" s="137" t="s">
        <v>61</v>
      </c>
      <c r="P32" s="133" t="s">
        <v>0</v>
      </c>
      <c r="Q32" s="136">
        <v>36</v>
      </c>
      <c r="R32" s="137" t="s">
        <v>64</v>
      </c>
      <c r="S32" s="133" t="s">
        <v>51</v>
      </c>
      <c r="T32" s="136">
        <v>41</v>
      </c>
      <c r="U32" s="137" t="s">
        <v>64</v>
      </c>
      <c r="V32" s="133" t="s">
        <v>0</v>
      </c>
      <c r="W32" s="136">
        <v>61</v>
      </c>
      <c r="X32" s="137" t="s">
        <v>0</v>
      </c>
      <c r="Y32" s="133" t="s">
        <v>51</v>
      </c>
      <c r="Z32" s="41"/>
      <c r="AA32" s="41"/>
      <c r="AB32" s="41"/>
      <c r="AC32" s="41"/>
      <c r="AD32" s="11">
        <f>SUM(B78,F78,J78,N78,R78,V78,Z78)</f>
        <v>0</v>
      </c>
      <c r="AE32" s="11" t="s">
        <v>51</v>
      </c>
      <c r="AF32" s="11"/>
      <c r="AG32" s="11">
        <f>SUM(AB78)</f>
        <v>0</v>
      </c>
      <c r="AH32" s="11"/>
      <c r="AI32" s="11"/>
      <c r="AJ32" s="11"/>
      <c r="AK32" s="11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Y32" s="94"/>
      <c r="AZ32" s="94"/>
      <c r="BA32" s="94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94"/>
    </row>
    <row r="33" spans="1:81" s="43" customFormat="1" ht="14" customHeight="1">
      <c r="E33" s="136">
        <v>67</v>
      </c>
      <c r="F33" s="137" t="s">
        <v>65</v>
      </c>
      <c r="G33" s="133" t="s">
        <v>9</v>
      </c>
      <c r="H33" s="136">
        <v>57</v>
      </c>
      <c r="I33" s="137" t="s">
        <v>65</v>
      </c>
      <c r="J33" s="133" t="s">
        <v>0</v>
      </c>
      <c r="K33" s="136">
        <v>52</v>
      </c>
      <c r="L33" s="137" t="s">
        <v>66</v>
      </c>
      <c r="M33" s="133" t="s">
        <v>7</v>
      </c>
      <c r="N33" s="136">
        <v>47</v>
      </c>
      <c r="O33" s="137" t="s">
        <v>65</v>
      </c>
      <c r="P33" s="133" t="s">
        <v>7</v>
      </c>
      <c r="Q33" s="136">
        <v>37</v>
      </c>
      <c r="R33" s="137" t="s">
        <v>66</v>
      </c>
      <c r="S33" s="133" t="s">
        <v>9</v>
      </c>
      <c r="T33" s="136">
        <v>42</v>
      </c>
      <c r="U33" s="137" t="s">
        <v>64</v>
      </c>
      <c r="V33" s="133" t="s">
        <v>51</v>
      </c>
      <c r="W33" s="136">
        <v>62</v>
      </c>
      <c r="X33" s="137" t="s">
        <v>64</v>
      </c>
      <c r="Y33" s="133" t="s">
        <v>7</v>
      </c>
      <c r="Z33" s="41"/>
      <c r="AA33" s="41"/>
      <c r="AB33" s="41"/>
      <c r="AC33" s="41"/>
      <c r="AD33" s="14"/>
      <c r="AE33" s="14"/>
      <c r="AF33" s="14"/>
      <c r="AG33" s="14"/>
      <c r="AH33" s="14"/>
      <c r="AI33" s="11"/>
      <c r="AJ33" s="11"/>
      <c r="AK33" s="11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11"/>
      <c r="AW33" s="11"/>
      <c r="AX33" s="6"/>
      <c r="AY33" s="94"/>
      <c r="AZ33" s="94"/>
      <c r="BA33" s="94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94"/>
    </row>
    <row r="34" spans="1:81" s="43" customFormat="1" ht="14" customHeight="1">
      <c r="E34" s="136">
        <v>68</v>
      </c>
      <c r="F34" s="137" t="s">
        <v>0</v>
      </c>
      <c r="G34" s="133" t="s">
        <v>51</v>
      </c>
      <c r="H34" s="136">
        <v>58</v>
      </c>
      <c r="I34" s="137" t="s">
        <v>66</v>
      </c>
      <c r="J34" s="133" t="s">
        <v>51</v>
      </c>
      <c r="K34" s="136">
        <v>53</v>
      </c>
      <c r="L34" s="137" t="s">
        <v>64</v>
      </c>
      <c r="M34" s="133" t="s">
        <v>51</v>
      </c>
      <c r="N34" s="136">
        <v>48</v>
      </c>
      <c r="O34" s="137" t="s">
        <v>66</v>
      </c>
      <c r="P34" s="133" t="s">
        <v>8</v>
      </c>
      <c r="Q34" s="136">
        <v>38</v>
      </c>
      <c r="R34" s="137" t="s">
        <v>66</v>
      </c>
      <c r="S34" s="133" t="s">
        <v>7</v>
      </c>
      <c r="T34" s="136">
        <v>43</v>
      </c>
      <c r="U34" s="137" t="s">
        <v>66</v>
      </c>
      <c r="V34" s="133" t="s">
        <v>7</v>
      </c>
      <c r="W34" s="136">
        <v>63</v>
      </c>
      <c r="X34" s="137" t="s">
        <v>61</v>
      </c>
      <c r="Y34" s="133" t="s">
        <v>0</v>
      </c>
      <c r="Z34" s="41"/>
      <c r="AA34" s="41"/>
      <c r="AB34" s="41"/>
      <c r="AC34" s="41"/>
      <c r="AD34" s="65" t="s">
        <v>12</v>
      </c>
      <c r="AE34" s="66"/>
      <c r="AF34" s="65"/>
      <c r="AG34" s="65">
        <f>SUM(AG28, AG22, AG16, AG10, AG4)</f>
        <v>24</v>
      </c>
      <c r="AH34"/>
      <c r="AI34" s="11"/>
      <c r="AJ34"/>
      <c r="AN34" s="61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94"/>
      <c r="AZ34" s="94"/>
      <c r="BA34" s="94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94"/>
    </row>
    <row r="35" spans="1:81" s="43" customFormat="1" ht="14" customHeight="1">
      <c r="E35" s="136">
        <v>69</v>
      </c>
      <c r="F35" s="137" t="s">
        <v>66</v>
      </c>
      <c r="G35" s="133" t="s">
        <v>7</v>
      </c>
      <c r="H35" s="136">
        <v>59</v>
      </c>
      <c r="I35" s="137" t="s">
        <v>65</v>
      </c>
      <c r="J35" s="133" t="s">
        <v>7</v>
      </c>
      <c r="K35" s="136">
        <v>54</v>
      </c>
      <c r="L35" s="137" t="s">
        <v>66</v>
      </c>
      <c r="M35" s="133" t="s">
        <v>8</v>
      </c>
      <c r="N35" s="136">
        <v>49</v>
      </c>
      <c r="O35" s="137" t="s">
        <v>64</v>
      </c>
      <c r="P35" s="133" t="s">
        <v>51</v>
      </c>
      <c r="Q35" s="136">
        <v>39</v>
      </c>
      <c r="R35" s="137" t="s">
        <v>65</v>
      </c>
      <c r="S35" s="133" t="s">
        <v>8</v>
      </c>
      <c r="T35" s="136">
        <v>44</v>
      </c>
      <c r="U35" s="137" t="s">
        <v>66</v>
      </c>
      <c r="V35" s="133" t="s">
        <v>8</v>
      </c>
      <c r="W35" s="136">
        <v>64</v>
      </c>
      <c r="X35" s="137" t="s">
        <v>64</v>
      </c>
      <c r="Y35" s="133" t="s">
        <v>9</v>
      </c>
      <c r="Z35" s="41"/>
      <c r="AA35" s="41"/>
      <c r="AB35" s="41"/>
      <c r="AC35" s="41"/>
      <c r="AD35" s="65" t="s">
        <v>13</v>
      </c>
      <c r="AE35" s="66"/>
      <c r="AF35" s="65"/>
      <c r="AG35" s="65">
        <f>SUM(AG29, AG23, AG17, AG11, AG5)</f>
        <v>24</v>
      </c>
      <c r="AH35" s="6"/>
      <c r="AI35" s="11"/>
      <c r="AJ35" s="6"/>
      <c r="AN35" s="39"/>
      <c r="AO35" s="11"/>
      <c r="AP35" s="11"/>
      <c r="AQ35" s="11"/>
      <c r="AR35" s="11"/>
      <c r="AS35" s="11"/>
      <c r="AT35" s="11"/>
      <c r="AU35" s="6"/>
      <c r="AV35" s="6"/>
      <c r="AW35" s="6"/>
      <c r="AX35" s="6"/>
      <c r="AY35" s="94"/>
      <c r="AZ35" s="94"/>
      <c r="BA35" s="94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94"/>
    </row>
    <row r="36" spans="1:81" s="43" customFormat="1" ht="14" customHeight="1" thickBot="1">
      <c r="B36" s="62"/>
      <c r="E36" s="138">
        <v>70</v>
      </c>
      <c r="F36" s="139" t="s">
        <v>66</v>
      </c>
      <c r="G36" s="134" t="s">
        <v>8</v>
      </c>
      <c r="H36" s="138">
        <v>60</v>
      </c>
      <c r="I36" s="139" t="s">
        <v>66</v>
      </c>
      <c r="J36" s="134" t="s">
        <v>9</v>
      </c>
      <c r="K36" s="138">
        <v>55</v>
      </c>
      <c r="L36" s="139" t="s">
        <v>66</v>
      </c>
      <c r="M36" s="134" t="s">
        <v>0</v>
      </c>
      <c r="N36" s="138">
        <v>50</v>
      </c>
      <c r="O36" s="139" t="s">
        <v>65</v>
      </c>
      <c r="P36" s="134" t="s">
        <v>9</v>
      </c>
      <c r="Q36" s="138">
        <v>40</v>
      </c>
      <c r="R36" s="139" t="s">
        <v>61</v>
      </c>
      <c r="S36" s="134" t="s">
        <v>0</v>
      </c>
      <c r="T36" s="138">
        <v>45</v>
      </c>
      <c r="U36" s="139" t="s">
        <v>64</v>
      </c>
      <c r="V36" s="134" t="s">
        <v>9</v>
      </c>
      <c r="W36" s="138">
        <v>65</v>
      </c>
      <c r="X36" s="139" t="s">
        <v>65</v>
      </c>
      <c r="Y36" s="134" t="s">
        <v>8</v>
      </c>
      <c r="Z36" s="41"/>
      <c r="AA36" s="41"/>
      <c r="AB36" s="41"/>
      <c r="AC36" s="41"/>
      <c r="AD36" s="65" t="s">
        <v>14</v>
      </c>
      <c r="AE36" s="66"/>
      <c r="AF36" s="65"/>
      <c r="AG36" s="65">
        <f>SUM(AG30, AG24, AG18, AG12, AG6)</f>
        <v>14</v>
      </c>
      <c r="AH36" s="6"/>
      <c r="AI36" s="11"/>
      <c r="AJ36" s="6"/>
      <c r="AN36" s="39"/>
      <c r="AO36" s="11"/>
      <c r="AP36" s="11"/>
      <c r="AQ36" s="11"/>
      <c r="AR36" s="6"/>
      <c r="AS36" s="6"/>
      <c r="AT36" s="6"/>
      <c r="AU36" s="6"/>
      <c r="AV36" s="6"/>
      <c r="AW36" s="6"/>
      <c r="AX36" s="6"/>
      <c r="AY36" s="94"/>
      <c r="AZ36" s="94"/>
      <c r="BA36" s="94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94"/>
    </row>
    <row r="37" spans="1:81" s="43" customFormat="1" ht="14" customHeight="1">
      <c r="A37" s="62"/>
      <c r="B37" s="62"/>
      <c r="C37" s="62"/>
      <c r="D37" s="40"/>
      <c r="E37" s="62"/>
      <c r="F37" s="62"/>
      <c r="G37" s="62"/>
      <c r="H37" s="40"/>
      <c r="I37" s="62"/>
      <c r="J37" s="103"/>
      <c r="K37" s="62"/>
      <c r="L37" s="40"/>
      <c r="M37" s="62"/>
      <c r="N37" s="62"/>
      <c r="O37" s="62"/>
      <c r="P37" s="40"/>
      <c r="Q37" s="62"/>
      <c r="R37" s="103"/>
      <c r="S37" s="62"/>
      <c r="T37" s="40"/>
      <c r="U37" s="62"/>
      <c r="V37" s="103"/>
      <c r="W37" s="62"/>
      <c r="X37" s="40"/>
      <c r="Y37" s="62"/>
      <c r="Z37" s="62"/>
      <c r="AA37" s="62"/>
      <c r="AB37" s="40"/>
      <c r="AC37" s="63"/>
      <c r="AD37" s="65" t="s">
        <v>15</v>
      </c>
      <c r="AE37" s="66"/>
      <c r="AF37" s="65"/>
      <c r="AG37" s="65">
        <f>SUM(AG7,AG13, AG19, AG25, AG31)</f>
        <v>16</v>
      </c>
      <c r="AH37" s="6"/>
      <c r="AI37" s="11"/>
      <c r="AJ37" s="6"/>
      <c r="AN37" s="39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94"/>
    </row>
    <row r="38" spans="1:81" s="43" customFormat="1" ht="14" customHeight="1" thickBot="1">
      <c r="A38" s="62"/>
      <c r="B38" s="62"/>
      <c r="C38" s="62"/>
      <c r="D38" s="40"/>
      <c r="E38" s="62"/>
      <c r="F38" s="62"/>
      <c r="G38" s="62"/>
      <c r="H38" s="40"/>
      <c r="I38" s="62"/>
      <c r="J38" s="62"/>
      <c r="K38" s="62"/>
      <c r="L38" s="40"/>
      <c r="M38" s="62"/>
      <c r="N38" s="62"/>
      <c r="O38" s="62"/>
      <c r="P38" s="40"/>
      <c r="Q38" s="62"/>
      <c r="R38" s="62"/>
      <c r="S38" s="62"/>
      <c r="T38" s="40"/>
      <c r="U38" s="62"/>
      <c r="V38" s="103"/>
      <c r="W38" s="62"/>
      <c r="X38" s="40"/>
      <c r="Y38" s="62"/>
      <c r="Z38" s="62"/>
      <c r="AA38" s="62"/>
      <c r="AB38" s="40"/>
      <c r="AC38" s="63"/>
      <c r="AD38" s="65" t="s">
        <v>52</v>
      </c>
      <c r="AE38" s="66"/>
      <c r="AF38" s="66"/>
      <c r="AG38" s="65">
        <f>SUM(AG8,AG14, AG20, AG26, AG32)</f>
        <v>43</v>
      </c>
      <c r="AH38" s="66">
        <f>SUM(56,-AG38)</f>
        <v>13</v>
      </c>
      <c r="AI38" s="156" t="s">
        <v>70</v>
      </c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  <c r="AX38" s="86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94"/>
    </row>
    <row r="39" spans="1:81" s="43" customFormat="1" ht="14" customHeight="1" thickBot="1">
      <c r="A39" s="62"/>
      <c r="B39" s="62"/>
      <c r="C39" s="62"/>
      <c r="D39" s="40"/>
      <c r="E39" s="62"/>
      <c r="F39" s="62"/>
      <c r="G39" s="62"/>
      <c r="H39" s="40"/>
      <c r="I39" s="62"/>
      <c r="J39" s="62"/>
      <c r="K39" s="62"/>
      <c r="L39" s="40"/>
      <c r="M39" s="62"/>
      <c r="N39" s="62"/>
      <c r="O39" s="62"/>
      <c r="P39" s="40"/>
      <c r="Q39" s="62"/>
      <c r="R39" s="62"/>
      <c r="S39" s="62"/>
      <c r="T39" s="40"/>
      <c r="U39" s="62"/>
      <c r="V39" s="62"/>
      <c r="W39" s="62"/>
      <c r="X39" s="40"/>
      <c r="Y39" s="62"/>
      <c r="Z39" s="62"/>
      <c r="AA39" s="62"/>
      <c r="AB39" s="40"/>
      <c r="AC39" s="63"/>
      <c r="AD39" s="109" t="s">
        <v>67</v>
      </c>
      <c r="AE39" s="110">
        <f>SUM(AG34,AG35,AG36,AG37,AH38)</f>
        <v>91</v>
      </c>
      <c r="AF39" s="140" t="s">
        <v>48</v>
      </c>
      <c r="AG39" s="112">
        <v>280</v>
      </c>
      <c r="AH39" s="113" t="s">
        <v>49</v>
      </c>
      <c r="AI39" s="111">
        <f>AE39/280</f>
        <v>0.32500000000000001</v>
      </c>
      <c r="AJ39" s="158" t="s">
        <v>68</v>
      </c>
      <c r="AK39" s="158"/>
      <c r="AL39" s="158"/>
      <c r="AM39" s="158"/>
      <c r="AN39" s="158"/>
      <c r="AO39" s="158"/>
      <c r="AP39" s="111">
        <f>SUM(-AI39,1)</f>
        <v>0.67500000000000004</v>
      </c>
      <c r="AQ39" s="141" t="s">
        <v>71</v>
      </c>
      <c r="AR39" s="142"/>
      <c r="AS39" s="143"/>
      <c r="AT39" s="143"/>
      <c r="AU39" s="143"/>
      <c r="AV39" s="144"/>
      <c r="AW39" s="154"/>
      <c r="AX39" s="152"/>
      <c r="AY39" s="152"/>
      <c r="AZ39" s="152"/>
      <c r="BA39" s="152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94"/>
    </row>
    <row r="40" spans="1:81" s="43" customFormat="1" ht="14" customHeight="1">
      <c r="A40" s="62"/>
      <c r="B40" s="62"/>
      <c r="C40" s="62"/>
      <c r="D40" s="40"/>
      <c r="E40" s="62"/>
      <c r="F40" s="62"/>
      <c r="G40" s="62"/>
      <c r="H40" s="40"/>
      <c r="I40" s="62"/>
      <c r="J40" s="62"/>
      <c r="K40" s="62"/>
      <c r="L40" s="40"/>
      <c r="M40" s="62"/>
      <c r="N40" s="62"/>
      <c r="O40" s="62"/>
      <c r="P40" s="40"/>
      <c r="Q40" s="62"/>
      <c r="R40" s="62"/>
      <c r="S40" s="62"/>
      <c r="T40" s="40"/>
      <c r="U40" s="62"/>
      <c r="V40" s="62"/>
      <c r="W40" s="62"/>
      <c r="X40" s="40"/>
      <c r="Y40" s="62"/>
      <c r="Z40" s="62"/>
      <c r="AA40" s="62"/>
      <c r="AB40" s="40"/>
      <c r="AC40" s="63"/>
      <c r="AD40" s="8"/>
      <c r="AE40" s="6"/>
      <c r="AF40" s="6"/>
      <c r="AG40" s="6"/>
      <c r="AH40" s="6"/>
      <c r="AI40" s="6"/>
      <c r="AJ40" s="6"/>
      <c r="AK40" s="6"/>
      <c r="AL40" s="6"/>
      <c r="AM40" s="6"/>
      <c r="AN40" s="11"/>
      <c r="AO40" s="105"/>
      <c r="AP40" s="147"/>
      <c r="AQ40" s="105"/>
      <c r="AR40" s="105"/>
      <c r="AS40" s="105"/>
      <c r="AT40" s="105"/>
      <c r="AU40" s="2"/>
      <c r="AV40" s="2"/>
      <c r="AW40" s="2"/>
      <c r="AX40" s="2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94"/>
    </row>
    <row r="41" spans="1:81" s="6" customFormat="1" ht="14" customHeight="1">
      <c r="A41" s="67" t="s">
        <v>37</v>
      </c>
      <c r="B41" s="62"/>
      <c r="C41" s="62"/>
      <c r="D41" s="40"/>
      <c r="E41" s="62"/>
      <c r="F41" s="62"/>
      <c r="G41" s="62"/>
      <c r="H41" s="40"/>
      <c r="I41" s="62"/>
      <c r="J41" s="62"/>
      <c r="K41" s="62"/>
      <c r="L41" s="40"/>
      <c r="M41" s="62"/>
      <c r="N41" s="62"/>
      <c r="O41" s="62"/>
      <c r="P41" s="40"/>
      <c r="Q41" s="62"/>
      <c r="R41" s="62"/>
      <c r="S41" s="62"/>
      <c r="T41" s="40"/>
      <c r="U41" s="62"/>
      <c r="V41" s="62"/>
      <c r="W41" s="62"/>
      <c r="X41" s="40"/>
      <c r="Y41" s="62"/>
      <c r="Z41" s="62"/>
      <c r="AA41" s="62"/>
      <c r="AB41" s="40"/>
      <c r="AD41" s="8"/>
      <c r="AE41" s="117"/>
      <c r="AF41" s="50"/>
      <c r="AG41" s="59"/>
      <c r="AH41" s="50"/>
      <c r="AI41" s="59"/>
      <c r="AJ41" s="50"/>
      <c r="AK41" s="59"/>
      <c r="AL41" s="50"/>
      <c r="AM41" s="59"/>
      <c r="AN41" s="50"/>
      <c r="AO41" s="50"/>
      <c r="AP41" s="148"/>
      <c r="AQ41" s="50"/>
      <c r="AR41" s="59"/>
      <c r="AS41" s="50"/>
      <c r="AT41" s="50"/>
      <c r="AU41" s="50"/>
      <c r="AV41" s="59"/>
      <c r="AW41" s="50"/>
      <c r="AX41" s="59"/>
      <c r="AY41" s="50"/>
      <c r="AZ41" s="59"/>
      <c r="BA41" s="50"/>
      <c r="BB41" s="95"/>
      <c r="BC41" s="95"/>
      <c r="BD41" s="95"/>
      <c r="BE41" s="95"/>
      <c r="BF41" s="95"/>
      <c r="BG41" s="95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</row>
    <row r="42" spans="1:81" s="6" customFormat="1" ht="14" customHeight="1" thickBot="1">
      <c r="A42" s="31" t="s">
        <v>30</v>
      </c>
      <c r="B42" s="42"/>
      <c r="C42" s="42"/>
      <c r="D42" s="41"/>
      <c r="E42" s="42"/>
      <c r="F42" s="42"/>
      <c r="G42" s="31" t="s">
        <v>41</v>
      </c>
      <c r="I42" s="42"/>
      <c r="J42" s="42"/>
      <c r="K42" s="42"/>
      <c r="L42" s="41"/>
      <c r="M42" s="31"/>
      <c r="N42" s="31" t="s">
        <v>45</v>
      </c>
      <c r="P42" s="41"/>
      <c r="Q42" s="42"/>
      <c r="R42" s="42"/>
      <c r="S42" s="42"/>
      <c r="T42" s="41"/>
      <c r="U42" s="42"/>
      <c r="V42" s="31"/>
      <c r="W42" s="42"/>
      <c r="X42" s="41"/>
      <c r="Y42" s="42"/>
      <c r="Z42" s="42"/>
      <c r="AA42" s="42"/>
      <c r="AB42" s="41"/>
      <c r="AD42" s="8"/>
      <c r="AE42" s="121"/>
      <c r="AF42" s="50"/>
      <c r="AG42" s="53"/>
      <c r="AH42" s="53"/>
      <c r="AI42" s="122"/>
      <c r="AJ42" s="50"/>
      <c r="AK42" s="50"/>
      <c r="AL42" s="50"/>
      <c r="AM42" s="58"/>
      <c r="AN42" s="50"/>
      <c r="AO42" s="50"/>
      <c r="AP42" s="59"/>
      <c r="AQ42" s="50"/>
      <c r="AR42" s="50"/>
      <c r="AS42" s="50"/>
      <c r="AT42" s="58"/>
      <c r="AU42" s="50"/>
      <c r="AV42" s="50"/>
      <c r="AW42" s="50"/>
      <c r="AX42" s="58"/>
      <c r="AY42" s="50"/>
      <c r="AZ42" s="50"/>
      <c r="BA42" s="50"/>
      <c r="BB42" s="59"/>
      <c r="BC42" s="50"/>
      <c r="BD42" s="78"/>
      <c r="BE42" s="118"/>
      <c r="BF42" s="95"/>
      <c r="BG42" s="95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</row>
    <row r="43" spans="1:81" s="6" customFormat="1" ht="14" customHeight="1" thickBot="1">
      <c r="A43" s="185" t="s">
        <v>1</v>
      </c>
      <c r="B43" s="186"/>
      <c r="C43" s="186"/>
      <c r="D43" s="131"/>
      <c r="E43" s="161" t="s">
        <v>2</v>
      </c>
      <c r="F43" s="162"/>
      <c r="G43" s="162"/>
      <c r="H43" s="163"/>
      <c r="I43" s="161" t="s">
        <v>84</v>
      </c>
      <c r="J43" s="162"/>
      <c r="K43" s="162"/>
      <c r="L43" s="163"/>
      <c r="M43" s="161" t="s">
        <v>3</v>
      </c>
      <c r="N43" s="162"/>
      <c r="O43" s="162"/>
      <c r="P43" s="163"/>
      <c r="Q43" s="161" t="s">
        <v>4</v>
      </c>
      <c r="R43" s="162"/>
      <c r="S43" s="162"/>
      <c r="T43" s="163"/>
      <c r="U43" s="161" t="s">
        <v>5</v>
      </c>
      <c r="V43" s="162"/>
      <c r="W43" s="162"/>
      <c r="X43" s="163"/>
      <c r="Y43" s="161" t="s">
        <v>6</v>
      </c>
      <c r="Z43" s="162"/>
      <c r="AA43" s="162"/>
      <c r="AB43" s="163"/>
      <c r="AD43" s="8"/>
      <c r="AE43" s="58"/>
      <c r="AF43" s="50"/>
      <c r="AG43" s="53"/>
      <c r="AH43" s="53"/>
      <c r="AI43" s="58"/>
      <c r="AJ43" s="50"/>
      <c r="AK43" s="50"/>
      <c r="AL43" s="50"/>
      <c r="AM43" s="58"/>
      <c r="AN43" s="50"/>
      <c r="AO43" s="50"/>
      <c r="AP43" s="58"/>
      <c r="AQ43" s="50"/>
      <c r="AR43" s="50"/>
      <c r="AS43" s="50"/>
      <c r="AT43" s="58"/>
      <c r="AU43" s="50"/>
      <c r="AV43" s="50"/>
      <c r="AW43" s="50"/>
      <c r="AX43" s="58"/>
      <c r="AY43" s="50"/>
      <c r="AZ43" s="50"/>
      <c r="BA43" s="50"/>
      <c r="BB43" s="58"/>
      <c r="BC43" s="50"/>
      <c r="BD43" s="50"/>
      <c r="BE43" s="119"/>
      <c r="BF43" s="95"/>
      <c r="BG43" s="95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</row>
    <row r="44" spans="1:81" s="6" customFormat="1" ht="15" customHeight="1">
      <c r="A44" s="26"/>
      <c r="B44" s="27" t="s">
        <v>22</v>
      </c>
      <c r="C44" s="28" t="s">
        <v>42</v>
      </c>
      <c r="D44" s="29"/>
      <c r="E44" s="27" t="s">
        <v>29</v>
      </c>
      <c r="F44" s="27" t="s">
        <v>22</v>
      </c>
      <c r="G44" s="28" t="s">
        <v>42</v>
      </c>
      <c r="H44" s="29"/>
      <c r="I44" s="26"/>
      <c r="J44" s="27" t="s">
        <v>22</v>
      </c>
      <c r="K44" s="28" t="s">
        <v>42</v>
      </c>
      <c r="L44" s="29"/>
      <c r="M44" s="26"/>
      <c r="N44" s="27" t="s">
        <v>22</v>
      </c>
      <c r="O44" s="28" t="s">
        <v>42</v>
      </c>
      <c r="P44" s="29"/>
      <c r="Q44" s="26"/>
      <c r="R44" s="27" t="s">
        <v>22</v>
      </c>
      <c r="S44" s="28" t="s">
        <v>42</v>
      </c>
      <c r="T44" s="29"/>
      <c r="U44" s="26"/>
      <c r="V44" s="27" t="s">
        <v>22</v>
      </c>
      <c r="W44" s="28" t="s">
        <v>42</v>
      </c>
      <c r="X44" s="29"/>
      <c r="Y44" s="26"/>
      <c r="Z44" s="27" t="s">
        <v>22</v>
      </c>
      <c r="AA44" s="28" t="s">
        <v>42</v>
      </c>
      <c r="AB44" s="77" t="s">
        <v>44</v>
      </c>
      <c r="AD44" s="8"/>
      <c r="AE44" s="58"/>
      <c r="AF44" s="50"/>
      <c r="AG44" s="53"/>
      <c r="AH44" s="53"/>
      <c r="AI44" s="58"/>
      <c r="AJ44" s="50"/>
      <c r="AK44" s="50"/>
      <c r="AL44" s="50"/>
      <c r="AM44" s="58"/>
      <c r="AN44" s="50"/>
      <c r="AO44" s="50"/>
      <c r="AP44" s="58"/>
      <c r="AQ44" s="50"/>
      <c r="AR44" s="50"/>
      <c r="AS44" s="50"/>
      <c r="AT44" s="58"/>
      <c r="AU44" s="50"/>
      <c r="AV44" s="50"/>
      <c r="AW44" s="50"/>
      <c r="AX44" s="58"/>
      <c r="AY44" s="50"/>
      <c r="AZ44" s="50"/>
      <c r="BA44" s="50"/>
      <c r="BB44" s="58"/>
      <c r="BC44" s="50"/>
      <c r="BD44" s="50"/>
      <c r="BE44" s="50"/>
      <c r="BF44" s="95"/>
      <c r="BG44" s="95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</row>
    <row r="45" spans="1:81" s="6" customFormat="1" ht="12" customHeight="1" thickBot="1">
      <c r="A45" s="159" t="s">
        <v>76</v>
      </c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74"/>
      <c r="AD45" s="8"/>
      <c r="AE45" s="58"/>
      <c r="AF45" s="50"/>
      <c r="AG45" s="53"/>
      <c r="AH45" s="53"/>
      <c r="AI45" s="58"/>
      <c r="AJ45" s="50"/>
      <c r="AK45" s="50"/>
      <c r="AL45" s="50"/>
      <c r="AM45" s="58"/>
      <c r="AN45" s="50"/>
      <c r="AO45" s="50"/>
      <c r="AP45" s="58"/>
      <c r="AQ45" s="50"/>
      <c r="AR45" s="50"/>
      <c r="AS45" s="50"/>
      <c r="AT45" s="58"/>
      <c r="AU45" s="50"/>
      <c r="AV45" s="50"/>
      <c r="AW45" s="50"/>
      <c r="AX45" s="58"/>
      <c r="AY45" s="50"/>
      <c r="AZ45" s="50"/>
      <c r="BA45" s="50"/>
      <c r="BB45" s="58"/>
      <c r="BC45" s="50"/>
      <c r="BD45" s="50"/>
      <c r="BE45" s="50"/>
      <c r="BF45" s="95"/>
      <c r="BG45" s="95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</row>
    <row r="46" spans="1:81" s="6" customFormat="1" ht="12" customHeight="1">
      <c r="A46" s="46" t="s">
        <v>7</v>
      </c>
      <c r="B46" s="47">
        <f>IF(F$27="a",1,0)+IF(F$35="a",1,0)</f>
        <v>0</v>
      </c>
      <c r="C46" s="48">
        <f>+B46*4</f>
        <v>0</v>
      </c>
      <c r="D46" s="49"/>
      <c r="E46" s="50" t="s">
        <v>7</v>
      </c>
      <c r="F46" s="47">
        <f>IF(I$27="a",1,0)+IF(I$35="a",1,0)</f>
        <v>0</v>
      </c>
      <c r="G46" s="48">
        <f>+F46*4</f>
        <v>0</v>
      </c>
      <c r="H46" s="49"/>
      <c r="I46" s="46" t="s">
        <v>7</v>
      </c>
      <c r="J46" s="47">
        <f>IF(L$28="a",1,0)+IF(L$33="a",1,0)</f>
        <v>0</v>
      </c>
      <c r="K46" s="48">
        <f>+J46*4</f>
        <v>0</v>
      </c>
      <c r="L46" s="49"/>
      <c r="M46" s="46" t="s">
        <v>7</v>
      </c>
      <c r="N46" s="47">
        <f>IF(O$27="a",1,0)+IF(O$33="a",1,0)</f>
        <v>0</v>
      </c>
      <c r="O46" s="48">
        <f>+N46*4</f>
        <v>0</v>
      </c>
      <c r="P46" s="49"/>
      <c r="Q46" s="46" t="s">
        <v>7</v>
      </c>
      <c r="R46" s="47">
        <f>IF(R$28="a",1,0)+IF(R$34="a",1,0)</f>
        <v>1</v>
      </c>
      <c r="S46" s="48">
        <f>+R46*4</f>
        <v>4</v>
      </c>
      <c r="T46" s="49"/>
      <c r="U46" s="46" t="s">
        <v>7</v>
      </c>
      <c r="V46" s="47">
        <f>IF(U$28="a",1,0)+IF(U$34="a",1,0)</f>
        <v>0</v>
      </c>
      <c r="W46" s="48">
        <f>+V46*4</f>
        <v>0</v>
      </c>
      <c r="X46" s="49"/>
      <c r="Y46" s="46" t="s">
        <v>7</v>
      </c>
      <c r="Z46" s="47">
        <f>IF(X$31="a",1,0)+IF(X$33="a",1,0)</f>
        <v>0</v>
      </c>
      <c r="AA46" s="48">
        <f>+Z46*4</f>
        <v>0</v>
      </c>
      <c r="AB46" s="149">
        <f>SUM(O46,C46,W46,AA46, G46,K46,S46)</f>
        <v>4</v>
      </c>
      <c r="AC46" s="8"/>
      <c r="AD46" s="8"/>
      <c r="AE46" s="58"/>
      <c r="AF46" s="50"/>
      <c r="AG46" s="53"/>
      <c r="AH46" s="53"/>
      <c r="AI46" s="58"/>
      <c r="AJ46" s="50"/>
      <c r="AK46" s="50"/>
      <c r="AL46" s="50"/>
      <c r="AM46" s="58"/>
      <c r="AN46" s="50"/>
      <c r="AO46" s="50"/>
      <c r="AP46" s="58"/>
      <c r="AQ46" s="50"/>
      <c r="AR46" s="50"/>
      <c r="AS46" s="50"/>
      <c r="AT46" s="58"/>
      <c r="AU46" s="50"/>
      <c r="AV46" s="50"/>
      <c r="AW46" s="50"/>
      <c r="AX46" s="58"/>
      <c r="AY46" s="50"/>
      <c r="AZ46" s="50"/>
      <c r="BA46" s="50"/>
      <c r="BB46" s="58"/>
      <c r="BC46" s="50"/>
      <c r="BD46" s="50"/>
      <c r="BE46" s="50"/>
      <c r="BF46" s="95"/>
      <c r="BG46" s="95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</row>
    <row r="47" spans="1:81" s="6" customFormat="1" ht="12" customHeight="1">
      <c r="A47" s="46" t="s">
        <v>9</v>
      </c>
      <c r="B47" s="47">
        <f>IF(F$30="a",1,0)+IF(F$33="a",1,0)</f>
        <v>0</v>
      </c>
      <c r="C47" s="48">
        <f>+B47*4</f>
        <v>0</v>
      </c>
      <c r="D47" s="49"/>
      <c r="E47" s="50" t="s">
        <v>9</v>
      </c>
      <c r="F47" s="47">
        <f>IF(I$30="a",1,0)+IF(I$36="a",1,0)</f>
        <v>0</v>
      </c>
      <c r="G47" s="48">
        <f t="shared" ref="G47:G49" si="0">+F47*4</f>
        <v>0</v>
      </c>
      <c r="H47" s="49"/>
      <c r="I47" s="46" t="s">
        <v>9</v>
      </c>
      <c r="J47" s="47">
        <f>IF(L$27="a",1,0)+IF(L$32="a",1,0)</f>
        <v>0</v>
      </c>
      <c r="K47" s="48">
        <f t="shared" ref="K47:K49" si="1">+J47*4</f>
        <v>0</v>
      </c>
      <c r="L47" s="49"/>
      <c r="M47" s="46" t="s">
        <v>9</v>
      </c>
      <c r="N47" s="47">
        <f>IF(O$30="a",1,0)+IF(O$36="a",1,0)</f>
        <v>0</v>
      </c>
      <c r="O47" s="48">
        <f t="shared" ref="O47:O49" si="2">+N47*4</f>
        <v>0</v>
      </c>
      <c r="P47" s="49"/>
      <c r="Q47" s="46" t="s">
        <v>9</v>
      </c>
      <c r="R47" s="47">
        <f>IF(R$29="a",1,0)+IF(R$33="a",1,0)</f>
        <v>0</v>
      </c>
      <c r="S47" s="48">
        <f t="shared" ref="S47:S49" si="3">+R47*4</f>
        <v>0</v>
      </c>
      <c r="T47" s="49"/>
      <c r="U47" s="46" t="s">
        <v>9</v>
      </c>
      <c r="V47" s="47">
        <f>IF(U$30="a",1,0)+IF(U$36="a",1,0)</f>
        <v>0</v>
      </c>
      <c r="W47" s="48">
        <f t="shared" ref="W47:W49" si="4">+V47*4</f>
        <v>0</v>
      </c>
      <c r="X47" s="49"/>
      <c r="Y47" s="46" t="s">
        <v>9</v>
      </c>
      <c r="Z47" s="47">
        <f>IF(X$29="a",1,0)+IF(X$35="a",1,0)</f>
        <v>0</v>
      </c>
      <c r="AA47" s="48">
        <f t="shared" ref="AA47:AA49" si="5">+Z47*4</f>
        <v>0</v>
      </c>
      <c r="AB47" s="150">
        <f>SUM(C47,G47,K47,O47,S47,W47,AA47)</f>
        <v>0</v>
      </c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58"/>
      <c r="AQ47" s="8"/>
      <c r="AR47" s="8"/>
      <c r="AS47" s="8"/>
      <c r="AT47" s="8"/>
      <c r="AU47" s="8"/>
      <c r="AV47" s="8"/>
      <c r="AW47" s="8"/>
      <c r="AX47" s="8"/>
      <c r="AY47" s="95"/>
      <c r="AZ47" s="95"/>
      <c r="BA47" s="95"/>
      <c r="BB47" s="58"/>
      <c r="BC47" s="50"/>
      <c r="BD47" s="50"/>
      <c r="BE47" s="50"/>
      <c r="BF47" s="95"/>
      <c r="BG47" s="95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</row>
    <row r="48" spans="1:81" s="7" customFormat="1" ht="12" customHeight="1">
      <c r="A48" s="46" t="s">
        <v>8</v>
      </c>
      <c r="B48" s="47">
        <f>IF(F$28="a",1,0)+IF(F$36="a",1,0)</f>
        <v>0</v>
      </c>
      <c r="C48" s="48">
        <f>+B48*4</f>
        <v>0</v>
      </c>
      <c r="D48" s="49"/>
      <c r="E48" s="50" t="s">
        <v>8</v>
      </c>
      <c r="F48" s="47">
        <f>IF(I$29="a",1,0)+IF(I$32="a",1,0)</f>
        <v>0</v>
      </c>
      <c r="G48" s="48">
        <f t="shared" si="0"/>
        <v>0</v>
      </c>
      <c r="H48" s="49"/>
      <c r="I48" s="46" t="s">
        <v>8</v>
      </c>
      <c r="J48" s="47">
        <f>IF(L$30="a",1,0)+IF(L$35="a",1,0)</f>
        <v>0</v>
      </c>
      <c r="K48" s="48">
        <f t="shared" si="1"/>
        <v>0</v>
      </c>
      <c r="L48" s="49"/>
      <c r="M48" s="46" t="s">
        <v>8</v>
      </c>
      <c r="N48" s="47">
        <f>IF(O$28="a",1,0)+IF(P$32="s",IF(O$32="a",1,0),0)+IF(P$34="s",IF(O$34="a",1,0),0)</f>
        <v>0</v>
      </c>
      <c r="O48" s="48">
        <f t="shared" si="2"/>
        <v>0</v>
      </c>
      <c r="P48" s="49"/>
      <c r="Q48" s="46" t="s">
        <v>8</v>
      </c>
      <c r="R48" s="47">
        <f>IF(R$35="a",1,0)+IF(S$30="s",IF(R$30="a",1,0),0)+IF(S$31="s",IF(R$31="a",1,0),0)</f>
        <v>0</v>
      </c>
      <c r="S48" s="48">
        <f t="shared" si="3"/>
        <v>0</v>
      </c>
      <c r="T48" s="49"/>
      <c r="U48" s="46" t="s">
        <v>8</v>
      </c>
      <c r="V48" s="47">
        <f>IF(U$27="a",1,0)+IF(U$35="a",1,0)</f>
        <v>0</v>
      </c>
      <c r="W48" s="48">
        <f t="shared" si="4"/>
        <v>0</v>
      </c>
      <c r="X48" s="49"/>
      <c r="Y48" s="46" t="s">
        <v>8</v>
      </c>
      <c r="Z48" s="47">
        <f>IF(X$27="a",1,0)+IF(X$34="a",1,0)</f>
        <v>0</v>
      </c>
      <c r="AA48" s="48">
        <f t="shared" si="5"/>
        <v>0</v>
      </c>
      <c r="AB48" s="150">
        <f>SUM(C48,G48,K48,O48,S48,W48,AA48)</f>
        <v>0</v>
      </c>
      <c r="AC48" s="6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95"/>
      <c r="AZ48" s="95"/>
      <c r="BA48" s="95"/>
      <c r="BB48" s="120"/>
      <c r="BC48" s="120"/>
      <c r="BD48" s="120"/>
      <c r="BE48" s="120"/>
      <c r="BF48" s="120"/>
      <c r="BG48" s="120"/>
      <c r="BH48" s="92"/>
      <c r="BI48" s="92"/>
      <c r="BJ48" s="92"/>
      <c r="BK48" s="92"/>
      <c r="BL48" s="92"/>
      <c r="BM48" s="92"/>
      <c r="BN48" s="92"/>
      <c r="BO48" s="92"/>
      <c r="BP48" s="92"/>
      <c r="BQ48" s="92"/>
      <c r="BR48" s="92"/>
      <c r="BS48" s="92"/>
      <c r="BT48" s="92"/>
      <c r="BU48" s="92"/>
      <c r="BV48" s="92"/>
      <c r="BW48" s="92"/>
      <c r="BX48" s="92"/>
      <c r="BY48" s="92"/>
      <c r="BZ48" s="92"/>
      <c r="CA48" s="92"/>
      <c r="CB48" s="92"/>
      <c r="CC48" s="92"/>
    </row>
    <row r="49" spans="1:81" s="6" customFormat="1" ht="12" customHeight="1">
      <c r="A49" s="46" t="s">
        <v>0</v>
      </c>
      <c r="B49" s="47">
        <f>IF(F$31="a",1,0)+IF(F$32="a",1,0)</f>
        <v>0</v>
      </c>
      <c r="C49" s="48">
        <f>+B49*4</f>
        <v>0</v>
      </c>
      <c r="D49" s="49"/>
      <c r="E49" s="50" t="s">
        <v>0</v>
      </c>
      <c r="F49" s="47">
        <f>IF(I$28="a",1,0)+IF(I$33="a",1,0)</f>
        <v>0</v>
      </c>
      <c r="G49" s="48">
        <f t="shared" si="0"/>
        <v>0</v>
      </c>
      <c r="H49" s="49"/>
      <c r="I49" s="46" t="s">
        <v>0</v>
      </c>
      <c r="J49" s="47">
        <f>IF(L$29="a",1,0)+IF(L$36="a",1,0)</f>
        <v>0</v>
      </c>
      <c r="K49" s="48">
        <f t="shared" si="1"/>
        <v>0</v>
      </c>
      <c r="L49" s="49"/>
      <c r="M49" s="46" t="s">
        <v>0</v>
      </c>
      <c r="N49" s="47">
        <f>IF(O$31="a",1,0)+IF(P$32="a",IF(O$32="a",1,0),0)+IF(P$34="a",IF(O$34="a",1,0),0)</f>
        <v>0</v>
      </c>
      <c r="O49" s="48">
        <f t="shared" si="2"/>
        <v>0</v>
      </c>
      <c r="P49" s="49"/>
      <c r="Q49" s="46" t="s">
        <v>0</v>
      </c>
      <c r="R49" s="47">
        <f>IF(R$36="a",1,0)+IF(S$30="a",IF(R$30="a",1,0),0)+IF(S$31="a",IF(R$31="a",1,0),0)</f>
        <v>0</v>
      </c>
      <c r="S49" s="48">
        <f t="shared" si="3"/>
        <v>0</v>
      </c>
      <c r="T49" s="49"/>
      <c r="U49" s="46" t="s">
        <v>0</v>
      </c>
      <c r="V49" s="47">
        <f>IF(U$31="a",1,0)+IF(U$32="a",1,0)</f>
        <v>0</v>
      </c>
      <c r="W49" s="48">
        <f t="shared" si="4"/>
        <v>0</v>
      </c>
      <c r="X49" s="49"/>
      <c r="Y49" s="46" t="s">
        <v>0</v>
      </c>
      <c r="Z49" s="47">
        <f>IF(X$30="a",1,0)+IF(X$36="a",1,0)</f>
        <v>0</v>
      </c>
      <c r="AA49" s="48">
        <f t="shared" si="5"/>
        <v>0</v>
      </c>
      <c r="AB49" s="150">
        <f>SUM(C49, G49, K49,O49,S49,W49,AA49)</f>
        <v>0</v>
      </c>
      <c r="AP49" s="8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</row>
    <row r="50" spans="1:81" s="6" customFormat="1" ht="12" customHeight="1">
      <c r="A50" s="114" t="s">
        <v>51</v>
      </c>
      <c r="B50" s="47">
        <f>IF(F$29="a",1,0)+IF(F$34="a",1,0)</f>
        <v>2</v>
      </c>
      <c r="C50" s="48">
        <f>+B50*4</f>
        <v>8</v>
      </c>
      <c r="D50" s="49"/>
      <c r="E50" s="115" t="s">
        <v>51</v>
      </c>
      <c r="F50" s="47">
        <f>IF(I$31="a",1,0)+IF(I$34="a",1,0)</f>
        <v>0</v>
      </c>
      <c r="G50" s="48">
        <f>+F50*4</f>
        <v>0</v>
      </c>
      <c r="H50" s="49"/>
      <c r="I50" s="114" t="s">
        <v>51</v>
      </c>
      <c r="J50" s="47">
        <f>IF(L$31="a",1,0)+IF(L$34="a",1,0)</f>
        <v>0</v>
      </c>
      <c r="K50" s="48">
        <f>+J50*4</f>
        <v>0</v>
      </c>
      <c r="L50" s="49"/>
      <c r="M50" s="114" t="s">
        <v>51</v>
      </c>
      <c r="N50" s="47">
        <f>IF(O$29="a",1,0)+IF(O$35="a",1,0)</f>
        <v>0</v>
      </c>
      <c r="O50" s="48">
        <f>+N50*4</f>
        <v>0</v>
      </c>
      <c r="P50" s="49"/>
      <c r="Q50" s="114" t="s">
        <v>51</v>
      </c>
      <c r="R50" s="47">
        <f>IF(R$27="a",1,0)+IF(R$32="a",1,0)</f>
        <v>1</v>
      </c>
      <c r="S50" s="48">
        <f>+R50*4</f>
        <v>4</v>
      </c>
      <c r="T50" s="49"/>
      <c r="U50" s="114" t="s">
        <v>51</v>
      </c>
      <c r="V50" s="47">
        <f>IF(U$29="a",1,0)+IF(U$33="a",1,0)</f>
        <v>0</v>
      </c>
      <c r="W50" s="48">
        <f>+V50*4</f>
        <v>0</v>
      </c>
      <c r="X50" s="49"/>
      <c r="Y50" s="114" t="s">
        <v>51</v>
      </c>
      <c r="Z50" s="47">
        <f>IF(X$28="a",1,0)+IF(X$32="a",1,0)</f>
        <v>1</v>
      </c>
      <c r="AA50" s="48">
        <f>+Z50*4</f>
        <v>4</v>
      </c>
      <c r="AB50" s="150">
        <f>SUM(C50,G50,K50,O50,S50,W50,AA50)</f>
        <v>16</v>
      </c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</row>
    <row r="51" spans="1:81" s="6" customFormat="1" ht="12" customHeight="1">
      <c r="A51" s="51"/>
      <c r="B51" s="88" t="s">
        <v>43</v>
      </c>
      <c r="C51" s="48">
        <f>SUM(C46:C50)</f>
        <v>8</v>
      </c>
      <c r="D51" s="49"/>
      <c r="E51" s="47"/>
      <c r="F51" s="88" t="s">
        <v>43</v>
      </c>
      <c r="G51" s="48">
        <f>SUM(G46:G50)</f>
        <v>0</v>
      </c>
      <c r="H51" s="49"/>
      <c r="I51" s="51"/>
      <c r="J51" s="88" t="s">
        <v>43</v>
      </c>
      <c r="K51" s="48">
        <f>SUM(K46:K50)</f>
        <v>0</v>
      </c>
      <c r="L51" s="49"/>
      <c r="M51" s="51"/>
      <c r="N51" s="88" t="s">
        <v>43</v>
      </c>
      <c r="O51" s="48">
        <f>SUM(O46:O50)</f>
        <v>0</v>
      </c>
      <c r="P51" s="49"/>
      <c r="Q51" s="51"/>
      <c r="R51" s="88" t="s">
        <v>43</v>
      </c>
      <c r="S51" s="48">
        <f>SUM(S46:S50)</f>
        <v>8</v>
      </c>
      <c r="T51" s="49"/>
      <c r="U51" s="51"/>
      <c r="V51" s="88" t="s">
        <v>43</v>
      </c>
      <c r="W51" s="48">
        <f>SUM(W46:W50)</f>
        <v>0</v>
      </c>
      <c r="X51" s="49"/>
      <c r="Y51" s="51"/>
      <c r="Z51" s="88" t="s">
        <v>43</v>
      </c>
      <c r="AA51" s="48">
        <f>SUM(AA46:AA50)</f>
        <v>4</v>
      </c>
      <c r="AB51" s="151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</row>
    <row r="52" spans="1:81" s="6" customFormat="1" ht="12" customHeight="1">
      <c r="A52" s="175" t="s">
        <v>75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7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</row>
    <row r="53" spans="1:81" s="6" customFormat="1" ht="12" customHeight="1">
      <c r="A53" s="46" t="s">
        <v>7</v>
      </c>
      <c r="B53" s="47">
        <f>IF(F$27="b",1,0)+IF(F$35="b",1,0)</f>
        <v>0</v>
      </c>
      <c r="C53" s="48">
        <f>+B53*3</f>
        <v>0</v>
      </c>
      <c r="D53" s="49"/>
      <c r="E53" s="50" t="s">
        <v>7</v>
      </c>
      <c r="F53" s="47">
        <f>IF(I$27="b",1,0)+IF(I$35="b",1,0)</f>
        <v>0</v>
      </c>
      <c r="G53" s="48">
        <f>+F53*3</f>
        <v>0</v>
      </c>
      <c r="H53" s="49"/>
      <c r="I53" s="46" t="s">
        <v>7</v>
      </c>
      <c r="J53" s="47">
        <f>IF(L$28="b",1,0)+IF(L$33="b",1,0)</f>
        <v>0</v>
      </c>
      <c r="K53" s="48">
        <f>+J53*3</f>
        <v>0</v>
      </c>
      <c r="L53" s="49"/>
      <c r="M53" s="46" t="s">
        <v>7</v>
      </c>
      <c r="N53" s="47">
        <f>IF(O$27="b",1,0)+IF(O$33="b",1,0)</f>
        <v>0</v>
      </c>
      <c r="O53" s="48">
        <f>+N53*3</f>
        <v>0</v>
      </c>
      <c r="P53" s="49"/>
      <c r="Q53" s="46" t="s">
        <v>7</v>
      </c>
      <c r="R53" s="47">
        <f>IF(R$28="b",1,0)+IF(R$34="b",1,0)</f>
        <v>0</v>
      </c>
      <c r="S53" s="48">
        <f>+R53*3</f>
        <v>0</v>
      </c>
      <c r="T53" s="49"/>
      <c r="U53" s="46" t="s">
        <v>7</v>
      </c>
      <c r="V53" s="47">
        <f>IF(U$28="b",1,0)+IF(U$34="b",1,0)</f>
        <v>0</v>
      </c>
      <c r="W53" s="48">
        <f>+V53*3</f>
        <v>0</v>
      </c>
      <c r="X53" s="49"/>
      <c r="Y53" s="46" t="s">
        <v>7</v>
      </c>
      <c r="Z53" s="47">
        <f>IF(X$31="b",1,0)+IF(X$33="b",1,0)</f>
        <v>2</v>
      </c>
      <c r="AA53" s="48">
        <f>+Z53*3</f>
        <v>6</v>
      </c>
      <c r="AB53" s="150">
        <f>SUM(C53,G53,K53,O53,S53,W53,AA53 )</f>
        <v>6</v>
      </c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</row>
    <row r="54" spans="1:81" s="6" customFormat="1" ht="12" customHeight="1">
      <c r="A54" s="46" t="s">
        <v>9</v>
      </c>
      <c r="B54" s="47">
        <f>IF(F$30="b",1,0)+IF(F$33="b",1,0)</f>
        <v>0</v>
      </c>
      <c r="C54" s="48">
        <f>+B54*3</f>
        <v>0</v>
      </c>
      <c r="D54" s="49"/>
      <c r="E54" s="50" t="s">
        <v>9</v>
      </c>
      <c r="F54" s="47">
        <f>IF(I$30="b",1,0)+IF(I$36="b",1,0)</f>
        <v>0</v>
      </c>
      <c r="G54" s="48">
        <f t="shared" ref="G54:G57" si="6">+F54*3</f>
        <v>0</v>
      </c>
      <c r="H54" s="49"/>
      <c r="I54" s="46" t="s">
        <v>9</v>
      </c>
      <c r="J54" s="47">
        <f>IF(L$27="b",1,0)+IF(L$32="b",1,0)</f>
        <v>0</v>
      </c>
      <c r="K54" s="48">
        <f t="shared" ref="K54:K57" si="7">+J54*3</f>
        <v>0</v>
      </c>
      <c r="L54" s="49"/>
      <c r="M54" s="46" t="s">
        <v>9</v>
      </c>
      <c r="N54" s="47">
        <f>IF(O$30="b",1,0)+IF(O$36="b",1,0)</f>
        <v>1</v>
      </c>
      <c r="O54" s="48">
        <f t="shared" ref="O54:O57" si="8">+N54*3</f>
        <v>3</v>
      </c>
      <c r="P54" s="49"/>
      <c r="Q54" s="46" t="s">
        <v>9</v>
      </c>
      <c r="R54" s="47">
        <f>IF(R$29="b",1,0)+IF(R$33="b",1,0)</f>
        <v>0</v>
      </c>
      <c r="S54" s="48">
        <f t="shared" ref="S54:S57" si="9">+R54*3</f>
        <v>0</v>
      </c>
      <c r="T54" s="49"/>
      <c r="U54" s="46" t="s">
        <v>9</v>
      </c>
      <c r="V54" s="47">
        <f>IF(U$30="b",1,0)+IF(U$36="b",1,0)</f>
        <v>1</v>
      </c>
      <c r="W54" s="48">
        <f t="shared" ref="W54:W57" si="10">+V54*3</f>
        <v>3</v>
      </c>
      <c r="X54" s="49"/>
      <c r="Y54" s="46" t="s">
        <v>9</v>
      </c>
      <c r="Z54" s="47">
        <f>IF(X$29="b",1,0)+IF(X$35="b",1,0)</f>
        <v>1</v>
      </c>
      <c r="AA54" s="48">
        <f t="shared" ref="AA54:AA57" si="11">+Z54*3</f>
        <v>3</v>
      </c>
      <c r="AB54" s="150">
        <f>SUM(C54,G54,K54,O54,S54,W54,AA54)</f>
        <v>9</v>
      </c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</row>
    <row r="55" spans="1:81" s="6" customFormat="1" ht="12" customHeight="1">
      <c r="A55" s="46" t="s">
        <v>8</v>
      </c>
      <c r="B55" s="47">
        <f>IF(F$28="b",1,0)+IF(F$36="b",1,0)</f>
        <v>0</v>
      </c>
      <c r="C55" s="48">
        <f>+B55*3</f>
        <v>0</v>
      </c>
      <c r="D55" s="49"/>
      <c r="E55" s="50" t="s">
        <v>8</v>
      </c>
      <c r="F55" s="47">
        <f>IF(I$29="b",1,0)+IF(I$32="b",1,0)</f>
        <v>0</v>
      </c>
      <c r="G55" s="48">
        <f t="shared" si="6"/>
        <v>0</v>
      </c>
      <c r="H55" s="49"/>
      <c r="I55" s="46" t="s">
        <v>8</v>
      </c>
      <c r="J55" s="47">
        <f>IF(L$30="b",1,0)+IF(L$35="b",1,0)</f>
        <v>0</v>
      </c>
      <c r="K55" s="48">
        <f t="shared" si="7"/>
        <v>0</v>
      </c>
      <c r="L55" s="49"/>
      <c r="M55" s="46" t="s">
        <v>8</v>
      </c>
      <c r="N55" s="47">
        <f>IF(O$28="b",1,0)+IF(P$32="s",IF(O$32="b",1,0),0)+IF(P$34="s",IF(O$34="b",1,0),0)</f>
        <v>0</v>
      </c>
      <c r="O55" s="48">
        <f>+N55*3</f>
        <v>0</v>
      </c>
      <c r="P55" s="49"/>
      <c r="Q55" s="46" t="s">
        <v>8</v>
      </c>
      <c r="R55" s="47">
        <f>IF(R$35="b",1,0)+IF(S$30="s",IF(R$30="b",1,0),0)+IF(S$31="s",IF(R$31="b",1,0),0)</f>
        <v>0</v>
      </c>
      <c r="S55" s="48">
        <f t="shared" si="9"/>
        <v>0</v>
      </c>
      <c r="T55" s="49"/>
      <c r="U55" s="46" t="s">
        <v>8</v>
      </c>
      <c r="V55" s="47">
        <f>IF(U$27="b",1,0)+IF(U$35="b",1,0)</f>
        <v>0</v>
      </c>
      <c r="W55" s="48">
        <f t="shared" si="10"/>
        <v>0</v>
      </c>
      <c r="X55" s="49"/>
      <c r="Y55" s="46" t="s">
        <v>8</v>
      </c>
      <c r="Z55" s="47">
        <f>IF(X$27="b",1,0)+IF(X$34="b",1,0)</f>
        <v>0</v>
      </c>
      <c r="AA55" s="48">
        <f t="shared" si="11"/>
        <v>0</v>
      </c>
      <c r="AB55" s="150">
        <f>SUM(C55,G55,K55,O55,S55,W55,AA55)</f>
        <v>0</v>
      </c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</row>
    <row r="56" spans="1:81" s="6" customFormat="1" ht="12" customHeight="1">
      <c r="A56" s="46" t="s">
        <v>0</v>
      </c>
      <c r="B56" s="47">
        <f>IF(F$31="b",1,0)+IF(F$32="b",1,0)</f>
        <v>1</v>
      </c>
      <c r="C56" s="48">
        <f>+B56*3</f>
        <v>3</v>
      </c>
      <c r="D56" s="49"/>
      <c r="E56" s="50" t="s">
        <v>0</v>
      </c>
      <c r="F56" s="47">
        <f>IF(I$28="b",1,0)+IF(I$33="b",1,0)</f>
        <v>0</v>
      </c>
      <c r="G56" s="48">
        <f t="shared" si="6"/>
        <v>0</v>
      </c>
      <c r="H56" s="49"/>
      <c r="I56" s="46" t="s">
        <v>0</v>
      </c>
      <c r="J56" s="47">
        <f>IF(L$29="b",1,0)+IF(L$36="b",1,0)</f>
        <v>0</v>
      </c>
      <c r="K56" s="48">
        <f t="shared" si="7"/>
        <v>0</v>
      </c>
      <c r="L56" s="49"/>
      <c r="M56" s="46" t="s">
        <v>0</v>
      </c>
      <c r="N56" s="47">
        <f>IF(O$31="b",1,0)+IF(P$32="a",IF(O$32="b",1,0),0)+IF(P$34="a",IF(O$34="b",1,0),0)</f>
        <v>0</v>
      </c>
      <c r="O56" s="48">
        <f>+N56*3</f>
        <v>0</v>
      </c>
      <c r="P56" s="49"/>
      <c r="Q56" s="46" t="s">
        <v>0</v>
      </c>
      <c r="R56" s="47">
        <f>IF(R$36="b",1,0)+IF(S$30="a",IF(R$30="b",1,0),0)+IF(S$31="a",IF(R$31="b",1,0),0)</f>
        <v>0</v>
      </c>
      <c r="S56" s="48">
        <f t="shared" si="9"/>
        <v>0</v>
      </c>
      <c r="T56" s="49"/>
      <c r="U56" s="46" t="s">
        <v>0</v>
      </c>
      <c r="V56" s="47">
        <f>IF(U$31="b",1,0)+IF(U$32="b",1,0)</f>
        <v>1</v>
      </c>
      <c r="W56" s="48">
        <f t="shared" si="10"/>
        <v>3</v>
      </c>
      <c r="X56" s="49"/>
      <c r="Y56" s="46" t="s">
        <v>0</v>
      </c>
      <c r="Z56" s="47">
        <f>IF(X$30="b",1,0)+IF(X$36="b",1,0)</f>
        <v>0</v>
      </c>
      <c r="AA56" s="48">
        <f t="shared" si="11"/>
        <v>0</v>
      </c>
      <c r="AB56" s="150">
        <f>SUM(C56,G56,K56,O56,S56,W56,AA56)</f>
        <v>6</v>
      </c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</row>
    <row r="57" spans="1:81" s="6" customFormat="1" ht="12" customHeight="1">
      <c r="A57" s="114" t="s">
        <v>51</v>
      </c>
      <c r="B57" s="47">
        <f>IF(F$29="b",1,0)+IF(F$34="b",1,0)</f>
        <v>0</v>
      </c>
      <c r="C57" s="48">
        <f>+B57*3</f>
        <v>0</v>
      </c>
      <c r="D57" s="49"/>
      <c r="E57" s="115" t="s">
        <v>51</v>
      </c>
      <c r="F57" s="47">
        <f>IF(I$31="b",1,0)+IF(I$34="b",1,0)</f>
        <v>0</v>
      </c>
      <c r="G57" s="48">
        <f t="shared" si="6"/>
        <v>0</v>
      </c>
      <c r="H57" s="49"/>
      <c r="I57" s="114" t="s">
        <v>51</v>
      </c>
      <c r="J57" s="47">
        <f>IF(L$31="b",1,0)+IF(L$34="b",1,0)</f>
        <v>2</v>
      </c>
      <c r="K57" s="48">
        <f t="shared" si="7"/>
        <v>6</v>
      </c>
      <c r="L57" s="49"/>
      <c r="M57" s="114" t="s">
        <v>51</v>
      </c>
      <c r="N57" s="47">
        <f>IF(O$29="b",1,0)+IF(O$35="b",1,0)</f>
        <v>2</v>
      </c>
      <c r="O57" s="48">
        <f t="shared" si="8"/>
        <v>6</v>
      </c>
      <c r="P57" s="49"/>
      <c r="Q57" s="114" t="s">
        <v>51</v>
      </c>
      <c r="R57" s="47">
        <f>IF(R$27="b",1,0)+IF(R$32="b",1,0)</f>
        <v>1</v>
      </c>
      <c r="S57" s="48">
        <f t="shared" si="9"/>
        <v>3</v>
      </c>
      <c r="T57" s="49"/>
      <c r="U57" s="114" t="s">
        <v>51</v>
      </c>
      <c r="V57" s="47">
        <f>IF(U$29="b",1,0)+IF(U$33="b",1,0)</f>
        <v>2</v>
      </c>
      <c r="W57" s="48">
        <f t="shared" si="10"/>
        <v>6</v>
      </c>
      <c r="X57" s="49"/>
      <c r="Y57" s="114" t="s">
        <v>51</v>
      </c>
      <c r="Z57" s="47">
        <f>IF(X$28="b",1,0)+IF(X$32="b",1,0)</f>
        <v>1</v>
      </c>
      <c r="AA57" s="48">
        <f t="shared" si="11"/>
        <v>3</v>
      </c>
      <c r="AB57" s="150">
        <f>SUM(C57,G57,K57,O57,S57,W57,AA57)</f>
        <v>24</v>
      </c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</row>
    <row r="58" spans="1:81" s="6" customFormat="1" ht="12" customHeight="1">
      <c r="A58" s="51"/>
      <c r="B58" s="88" t="s">
        <v>43</v>
      </c>
      <c r="C58" s="48">
        <f>SUM(C53:C57)</f>
        <v>3</v>
      </c>
      <c r="D58" s="49"/>
      <c r="E58" s="47"/>
      <c r="F58" s="88" t="s">
        <v>43</v>
      </c>
      <c r="G58" s="48">
        <f>SUM(G53:G57)</f>
        <v>0</v>
      </c>
      <c r="H58" s="49"/>
      <c r="I58" s="51"/>
      <c r="J58" s="88" t="s">
        <v>43</v>
      </c>
      <c r="K58" s="48">
        <f>SUM(K53:K57)</f>
        <v>6</v>
      </c>
      <c r="L58" s="49"/>
      <c r="M58" s="51"/>
      <c r="N58" s="88" t="s">
        <v>43</v>
      </c>
      <c r="O58" s="48">
        <f>SUM(O53:O57)</f>
        <v>9</v>
      </c>
      <c r="P58" s="49"/>
      <c r="Q58" s="51"/>
      <c r="R58" s="88" t="s">
        <v>43</v>
      </c>
      <c r="S58" s="48">
        <f>SUM(S53:S57)</f>
        <v>3</v>
      </c>
      <c r="T58" s="49"/>
      <c r="U58" s="51"/>
      <c r="V58" s="88" t="s">
        <v>43</v>
      </c>
      <c r="W58" s="48">
        <f>SUM(W53:W57)</f>
        <v>12</v>
      </c>
      <c r="X58" s="49"/>
      <c r="Y58" s="51"/>
      <c r="Z58" s="88" t="s">
        <v>43</v>
      </c>
      <c r="AA58" s="48">
        <f>SUM(AA53:AA57)</f>
        <v>12</v>
      </c>
      <c r="AB58" s="151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</row>
    <row r="59" spans="1:81" s="6" customFormat="1" ht="12" customHeight="1">
      <c r="A59" s="172" t="s">
        <v>74</v>
      </c>
      <c r="B59" s="173"/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4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</row>
    <row r="60" spans="1:81" s="6" customFormat="1" ht="12" customHeight="1">
      <c r="A60" s="46" t="s">
        <v>7</v>
      </c>
      <c r="B60" s="47">
        <f>IF(F$27="c",1,0)+IF(F$35="c",1,0)</f>
        <v>1</v>
      </c>
      <c r="C60" s="48">
        <f>+B60*2</f>
        <v>2</v>
      </c>
      <c r="D60" s="49"/>
      <c r="E60" s="50" t="s">
        <v>7</v>
      </c>
      <c r="F60" s="47">
        <f>IF(I$27="c",1,0)+IF(I$35="c",1,0)</f>
        <v>1</v>
      </c>
      <c r="G60" s="48">
        <f>+F60*2</f>
        <v>2</v>
      </c>
      <c r="H60" s="49"/>
      <c r="I60" s="46" t="s">
        <v>7</v>
      </c>
      <c r="J60" s="47">
        <f>IF(L$28="c",1,0)+IF(L$33="c",1,0)</f>
        <v>1</v>
      </c>
      <c r="K60" s="48">
        <f>+J60*2</f>
        <v>2</v>
      </c>
      <c r="L60" s="49"/>
      <c r="M60" s="46" t="s">
        <v>7</v>
      </c>
      <c r="N60" s="47">
        <f>IF(O$27="c",1,0)+IF(O$33="c",1,0)</f>
        <v>1</v>
      </c>
      <c r="O60" s="48">
        <f>+N60*2</f>
        <v>2</v>
      </c>
      <c r="P60" s="49"/>
      <c r="Q60" s="46" t="s">
        <v>7</v>
      </c>
      <c r="R60" s="47">
        <f>IF(R$28="c",1,0)+IF(R$34="c",1,0)</f>
        <v>0</v>
      </c>
      <c r="S60" s="48">
        <f>+R60*2</f>
        <v>0</v>
      </c>
      <c r="T60" s="49"/>
      <c r="U60" s="46" t="s">
        <v>7</v>
      </c>
      <c r="V60" s="47">
        <f>IF(U$28="c",1,0)+IF(U$34="c",1,0)</f>
        <v>0</v>
      </c>
      <c r="W60" s="48">
        <f>+V60*2</f>
        <v>0</v>
      </c>
      <c r="X60" s="49"/>
      <c r="Y60" s="46" t="s">
        <v>7</v>
      </c>
      <c r="Z60" s="47">
        <f>IF(X$31="c",1,0)+IF(X$33="c",1,0)</f>
        <v>0</v>
      </c>
      <c r="AA60" s="48">
        <f>+Z60*2</f>
        <v>0</v>
      </c>
      <c r="AB60" s="150">
        <f>SUM(C60,G60,K60,O60,S60,W60,AA60)</f>
        <v>8</v>
      </c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</row>
    <row r="61" spans="1:81" s="6" customFormat="1" ht="12" customHeight="1">
      <c r="A61" s="46" t="s">
        <v>9</v>
      </c>
      <c r="B61" s="47">
        <f>IF(F$30="c",1,0)+IF(F$33="c",1,0)</f>
        <v>1</v>
      </c>
      <c r="C61" s="48">
        <f>+B61*2</f>
        <v>2</v>
      </c>
      <c r="D61" s="49"/>
      <c r="E61" s="50" t="s">
        <v>9</v>
      </c>
      <c r="F61" s="47">
        <f>IF(I$30="c",1,0)+IF(I$36="c",1,0)</f>
        <v>0</v>
      </c>
      <c r="G61" s="48">
        <f t="shared" ref="G61:G64" si="12">+F61*2</f>
        <v>0</v>
      </c>
      <c r="H61" s="49"/>
      <c r="I61" s="46" t="s">
        <v>9</v>
      </c>
      <c r="J61" s="47">
        <f>IF(L$27="c",1,0)+IF(L$32="c",1,0)</f>
        <v>0</v>
      </c>
      <c r="K61" s="48">
        <f t="shared" ref="K61:K64" si="13">+J61*2</f>
        <v>0</v>
      </c>
      <c r="L61" s="49"/>
      <c r="M61" s="46" t="s">
        <v>9</v>
      </c>
      <c r="N61" s="47">
        <f>IF(O$30="c",1,0)+IF(O$36="c",1,0)</f>
        <v>1</v>
      </c>
      <c r="O61" s="48">
        <f t="shared" ref="O61:O64" si="14">+N61*2</f>
        <v>2</v>
      </c>
      <c r="P61" s="49"/>
      <c r="Q61" s="46" t="s">
        <v>9</v>
      </c>
      <c r="R61" s="47">
        <f>IF(R$29="c",1,0)+IF(R$33="c",1,0)</f>
        <v>0</v>
      </c>
      <c r="S61" s="48">
        <f t="shared" ref="S61:S64" si="15">+R61*2</f>
        <v>0</v>
      </c>
      <c r="T61" s="49"/>
      <c r="U61" s="46" t="s">
        <v>9</v>
      </c>
      <c r="V61" s="47">
        <f>IF(U$30="c",1,0)+IF(U$36="c",1,0)</f>
        <v>1</v>
      </c>
      <c r="W61" s="48">
        <f t="shared" ref="W61:W64" si="16">+V61*2</f>
        <v>2</v>
      </c>
      <c r="X61" s="49"/>
      <c r="Y61" s="46" t="s">
        <v>9</v>
      </c>
      <c r="Z61" s="47">
        <f>IF(X$29="c",1,0)+IF(X$35="c",1,0)</f>
        <v>1</v>
      </c>
      <c r="AA61" s="48">
        <f t="shared" ref="AA61:AA64" si="17">+Z61*2</f>
        <v>2</v>
      </c>
      <c r="AB61" s="150">
        <f>SUM(C61,G61,K61,O61,S61,W61,AA61)</f>
        <v>8</v>
      </c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</row>
    <row r="62" spans="1:81" s="6" customFormat="1" ht="12" customHeight="1">
      <c r="A62" s="46" t="s">
        <v>8</v>
      </c>
      <c r="B62" s="47">
        <f>IF(F$28="c",1,0)+IF(F$36="c",1,0)</f>
        <v>0</v>
      </c>
      <c r="C62" s="48">
        <f>+B62*2</f>
        <v>0</v>
      </c>
      <c r="D62" s="49"/>
      <c r="E62" s="50" t="s">
        <v>8</v>
      </c>
      <c r="F62" s="47">
        <f>IF(I$29="c",1,0)+IF(I$32="c",1,0)</f>
        <v>1</v>
      </c>
      <c r="G62" s="48">
        <f t="shared" si="12"/>
        <v>2</v>
      </c>
      <c r="H62" s="49"/>
      <c r="I62" s="46" t="s">
        <v>8</v>
      </c>
      <c r="J62" s="47">
        <f>IF(L$30="c",1,0)+IF(L$35="c",1,0)</f>
        <v>0</v>
      </c>
      <c r="K62" s="48">
        <f t="shared" si="13"/>
        <v>0</v>
      </c>
      <c r="L62" s="49"/>
      <c r="M62" s="46" t="s">
        <v>8</v>
      </c>
      <c r="N62" s="47">
        <f>IF(O$28="c",1,0)+IF(P$32="s",IF(O$32="c",1,0),0)+IF(P$34="s",IF(O$34="c",1,0),0)</f>
        <v>0</v>
      </c>
      <c r="O62" s="48">
        <f>+N62*2</f>
        <v>0</v>
      </c>
      <c r="P62" s="49"/>
      <c r="Q62" s="46" t="s">
        <v>8</v>
      </c>
      <c r="R62" s="47">
        <f>IF(R$35="c",1,0)+IF(S$30="s",IF(R$30="c",1,0),0)+IF(S$31="s",IF(R$31="c",1,0),0)</f>
        <v>1</v>
      </c>
      <c r="S62" s="48">
        <f t="shared" si="15"/>
        <v>2</v>
      </c>
      <c r="T62" s="49"/>
      <c r="U62" s="46" t="s">
        <v>8</v>
      </c>
      <c r="V62" s="47">
        <f>IF(U$27="c",1,0)+IF(U$35="c",1,0)</f>
        <v>1</v>
      </c>
      <c r="W62" s="48">
        <f t="shared" si="16"/>
        <v>2</v>
      </c>
      <c r="X62" s="49"/>
      <c r="Y62" s="46" t="s">
        <v>8</v>
      </c>
      <c r="Z62" s="47">
        <f>IF(X$27="c",1,0)+IF(X$34="c",1,0)</f>
        <v>1</v>
      </c>
      <c r="AA62" s="48">
        <f t="shared" si="17"/>
        <v>2</v>
      </c>
      <c r="AB62" s="150">
        <f>SUM(C62,G62,K62,O62,S62,W62,AA62)</f>
        <v>8</v>
      </c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</row>
    <row r="63" spans="1:81" s="6" customFormat="1" ht="12" customHeight="1">
      <c r="A63" s="46" t="s">
        <v>0</v>
      </c>
      <c r="B63" s="47">
        <f>IF(F$31="c",1,0)+IF(F$32="c",1,0)</f>
        <v>0</v>
      </c>
      <c r="C63" s="48">
        <f>+B63*2</f>
        <v>0</v>
      </c>
      <c r="D63" s="49"/>
      <c r="E63" s="50" t="s">
        <v>0</v>
      </c>
      <c r="F63" s="47">
        <f>IF(I$28="c",1,0)+IF(I$33="c",1,0)</f>
        <v>1</v>
      </c>
      <c r="G63" s="48">
        <f t="shared" si="12"/>
        <v>2</v>
      </c>
      <c r="H63" s="49"/>
      <c r="I63" s="46" t="s">
        <v>0</v>
      </c>
      <c r="J63" s="47">
        <f>IF(L$29="c",1,0)+IF(L$36="c",1,0)</f>
        <v>0</v>
      </c>
      <c r="K63" s="48">
        <f t="shared" si="13"/>
        <v>0</v>
      </c>
      <c r="L63" s="49"/>
      <c r="M63" s="46" t="s">
        <v>0</v>
      </c>
      <c r="N63" s="47">
        <f>IF(O$31="c",1,0)+IF(P$32="a",IF(O$32="c",1,0),0)+IF(P$34="a",IF(O$34="c",1,0),0)</f>
        <v>0</v>
      </c>
      <c r="O63" s="48">
        <f>+N63*2</f>
        <v>0</v>
      </c>
      <c r="P63" s="49"/>
      <c r="Q63" s="46" t="s">
        <v>0</v>
      </c>
      <c r="R63" s="47">
        <f>IF(R$36="c",1,0)+IF(S$30="a",IF(R$30="c",1,0),0)+IF(S$31="a",IF(R$31="c",1,0),0)</f>
        <v>0</v>
      </c>
      <c r="S63" s="48">
        <f t="shared" si="15"/>
        <v>0</v>
      </c>
      <c r="T63" s="49"/>
      <c r="U63" s="46" t="s">
        <v>0</v>
      </c>
      <c r="V63" s="47">
        <f>IF(U$31="c",1,0)+IF(U$32="c",1,0)</f>
        <v>1</v>
      </c>
      <c r="W63" s="48">
        <f t="shared" si="16"/>
        <v>2</v>
      </c>
      <c r="X63" s="49"/>
      <c r="Y63" s="46" t="s">
        <v>0</v>
      </c>
      <c r="Z63" s="47">
        <f>IF(X$30="c",1,0)+IF(X$36="c",1,0)</f>
        <v>1</v>
      </c>
      <c r="AA63" s="48">
        <f t="shared" si="17"/>
        <v>2</v>
      </c>
      <c r="AB63" s="150">
        <f>SUM(C63,G63,K63,O63,S63,W63,AA63)</f>
        <v>6</v>
      </c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</row>
    <row r="64" spans="1:81" s="6" customFormat="1" ht="12" customHeight="1">
      <c r="A64" s="114" t="s">
        <v>51</v>
      </c>
      <c r="B64" s="47">
        <f>IF(F$29="c",1,0)+IF(F$34="c",1,0)</f>
        <v>0</v>
      </c>
      <c r="C64" s="48">
        <f>+B64*2</f>
        <v>0</v>
      </c>
      <c r="D64" s="49"/>
      <c r="E64" s="115" t="s">
        <v>51</v>
      </c>
      <c r="F64" s="47">
        <f>IF(I$31="c",1,0)+IF(I$34="c",1,0)</f>
        <v>1</v>
      </c>
      <c r="G64" s="48">
        <f t="shared" si="12"/>
        <v>2</v>
      </c>
      <c r="H64" s="49"/>
      <c r="I64" s="114" t="s">
        <v>51</v>
      </c>
      <c r="J64" s="47">
        <f>IF(L$31="c",1,0)+IF(L$34="c",1,0)</f>
        <v>0</v>
      </c>
      <c r="K64" s="48">
        <f t="shared" si="13"/>
        <v>0</v>
      </c>
      <c r="L64" s="49"/>
      <c r="M64" s="114" t="s">
        <v>51</v>
      </c>
      <c r="N64" s="47">
        <f>IF(O$29="c",1,0)+IF(O$35="c",1,0)</f>
        <v>0</v>
      </c>
      <c r="O64" s="48">
        <f t="shared" si="14"/>
        <v>0</v>
      </c>
      <c r="P64" s="49"/>
      <c r="Q64" s="114" t="s">
        <v>51</v>
      </c>
      <c r="R64" s="47">
        <f>IF(R$27="c",1,0)+IF(R$32="c",1,0)</f>
        <v>0</v>
      </c>
      <c r="S64" s="48">
        <f t="shared" si="15"/>
        <v>0</v>
      </c>
      <c r="T64" s="49"/>
      <c r="U64" s="114" t="s">
        <v>51</v>
      </c>
      <c r="V64" s="47">
        <f>IF(U$29="c",1,0)+IF(U$33="c",1,0)</f>
        <v>0</v>
      </c>
      <c r="W64" s="48">
        <f t="shared" si="16"/>
        <v>0</v>
      </c>
      <c r="X64" s="49"/>
      <c r="Y64" s="114" t="s">
        <v>51</v>
      </c>
      <c r="Z64" s="47">
        <f>IF(X$28="c",1,0)+IF(X$32="c",1,0)</f>
        <v>0</v>
      </c>
      <c r="AA64" s="48">
        <f t="shared" si="17"/>
        <v>0</v>
      </c>
      <c r="AB64" s="150">
        <f>SUM(C64,G64,K64,O64,S64,W64,AA64)</f>
        <v>2</v>
      </c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</row>
    <row r="65" spans="1:81" s="6" customFormat="1" ht="12" customHeight="1">
      <c r="A65" s="51"/>
      <c r="B65" s="88" t="s">
        <v>43</v>
      </c>
      <c r="C65" s="48">
        <f>SUM(C60:C64)</f>
        <v>4</v>
      </c>
      <c r="D65" s="49"/>
      <c r="E65" s="47"/>
      <c r="F65" s="88" t="s">
        <v>43</v>
      </c>
      <c r="G65" s="48">
        <f>SUM(G60:G64)</f>
        <v>8</v>
      </c>
      <c r="H65" s="49"/>
      <c r="I65" s="51"/>
      <c r="J65" s="88" t="s">
        <v>43</v>
      </c>
      <c r="K65" s="48">
        <f>SUM(K60:K64)</f>
        <v>2</v>
      </c>
      <c r="L65" s="49"/>
      <c r="M65" s="51"/>
      <c r="N65" s="88" t="s">
        <v>43</v>
      </c>
      <c r="O65" s="48">
        <f>SUM(O60:O64)</f>
        <v>4</v>
      </c>
      <c r="P65" s="49"/>
      <c r="Q65" s="51"/>
      <c r="R65" s="88" t="s">
        <v>43</v>
      </c>
      <c r="S65" s="48">
        <f>SUM(S60:S64)</f>
        <v>2</v>
      </c>
      <c r="T65" s="49"/>
      <c r="U65" s="51"/>
      <c r="V65" s="88" t="s">
        <v>43</v>
      </c>
      <c r="W65" s="48">
        <f>SUM(W60:W64)</f>
        <v>6</v>
      </c>
      <c r="X65" s="49"/>
      <c r="Y65" s="51"/>
      <c r="Z65" s="88" t="s">
        <v>43</v>
      </c>
      <c r="AA65" s="48">
        <f>SUM(AA60:AA64)</f>
        <v>6</v>
      </c>
      <c r="AB65" s="151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</row>
    <row r="66" spans="1:81" s="6" customFormat="1" ht="12" customHeight="1">
      <c r="A66" s="169" t="s">
        <v>73</v>
      </c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  <c r="AB66" s="171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</row>
    <row r="67" spans="1:81" s="6" customFormat="1" ht="12" customHeight="1">
      <c r="A67" s="46" t="s">
        <v>7</v>
      </c>
      <c r="B67" s="47">
        <f>IF(F$27="d",1,0)+IF(F$35="d",1,0)</f>
        <v>1</v>
      </c>
      <c r="C67" s="48">
        <f>+B67</f>
        <v>1</v>
      </c>
      <c r="D67" s="49"/>
      <c r="E67" s="50" t="s">
        <v>7</v>
      </c>
      <c r="F67" s="47">
        <f>IF(I$27="d",1,0)+IF(I$35="d",1,0)</f>
        <v>1</v>
      </c>
      <c r="G67" s="48">
        <f>+F67</f>
        <v>1</v>
      </c>
      <c r="H67" s="49"/>
      <c r="I67" s="46" t="s">
        <v>7</v>
      </c>
      <c r="J67" s="47">
        <f>IF(L$28="d",1,0)+IF(L$33="d",1,0)</f>
        <v>1</v>
      </c>
      <c r="K67" s="48">
        <f>+J67</f>
        <v>1</v>
      </c>
      <c r="L67" s="49"/>
      <c r="M67" s="46" t="s">
        <v>7</v>
      </c>
      <c r="N67" s="47">
        <f>IF(O$27="d",1,0)+IF(O$33="d",1,0)</f>
        <v>0</v>
      </c>
      <c r="O67" s="48">
        <f>+N67</f>
        <v>0</v>
      </c>
      <c r="P67" s="49"/>
      <c r="Q67" s="46" t="s">
        <v>7</v>
      </c>
      <c r="R67" s="47">
        <f>IF(R$28="d",1,0)+IF(R$34="d",1,0)</f>
        <v>1</v>
      </c>
      <c r="S67" s="48">
        <f>+R67</f>
        <v>1</v>
      </c>
      <c r="T67" s="49"/>
      <c r="U67" s="46" t="s">
        <v>7</v>
      </c>
      <c r="V67" s="47">
        <f>IF(U$28="d",1,0)+IF(U$34="d",1,0)</f>
        <v>2</v>
      </c>
      <c r="W67" s="48">
        <f>+V67</f>
        <v>2</v>
      </c>
      <c r="X67" s="49"/>
      <c r="Y67" s="46" t="s">
        <v>7</v>
      </c>
      <c r="Z67" s="47">
        <f>IF(X$31="d",1,0)+IF(X$33="d",1,0)</f>
        <v>0</v>
      </c>
      <c r="AA67" s="48">
        <f>+Z67</f>
        <v>0</v>
      </c>
      <c r="AB67" s="150">
        <f>SUM(C67,G67,K67,O67,S67,W67,AA67)</f>
        <v>6</v>
      </c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</row>
    <row r="68" spans="1:81" s="6" customFormat="1" ht="12" customHeight="1">
      <c r="A68" s="46" t="s">
        <v>9</v>
      </c>
      <c r="B68" s="47">
        <f>IF(F$30="d",1,0)+IF(F$33="d",1,0)</f>
        <v>1</v>
      </c>
      <c r="C68" s="48">
        <f>+B68</f>
        <v>1</v>
      </c>
      <c r="D68" s="49"/>
      <c r="E68" s="50" t="s">
        <v>9</v>
      </c>
      <c r="F68" s="47">
        <f>IF(I$30="d",1,0)+IF(I$36="d",1,0)</f>
        <v>2</v>
      </c>
      <c r="G68" s="48">
        <f t="shared" ref="G68:G71" si="18">+F68</f>
        <v>2</v>
      </c>
      <c r="H68" s="49"/>
      <c r="I68" s="46" t="s">
        <v>9</v>
      </c>
      <c r="J68" s="47">
        <f>IF(L$27="d",1,0)+IF(L$32="d",1,0)</f>
        <v>2</v>
      </c>
      <c r="K68" s="48">
        <f t="shared" ref="K68:K71" si="19">+J68</f>
        <v>2</v>
      </c>
      <c r="L68" s="49"/>
      <c r="M68" s="46" t="s">
        <v>9</v>
      </c>
      <c r="N68" s="47">
        <f>IF(O$30="d",1,0)+IF(O$36="d",1,0)</f>
        <v>0</v>
      </c>
      <c r="O68" s="48">
        <f t="shared" ref="O68:O71" si="20">+N68</f>
        <v>0</v>
      </c>
      <c r="P68" s="49"/>
      <c r="Q68" s="46" t="s">
        <v>9</v>
      </c>
      <c r="R68" s="47">
        <f>IF(R$29="d",1,0)+IF(R$33="d",1,0)</f>
        <v>2</v>
      </c>
      <c r="S68" s="48">
        <f t="shared" ref="S68:S71" si="21">+R68</f>
        <v>2</v>
      </c>
      <c r="T68" s="49"/>
      <c r="U68" s="46" t="s">
        <v>9</v>
      </c>
      <c r="V68" s="47">
        <f>IF(U$30="d",1,0)+IF(U$36="d",1,0)</f>
        <v>0</v>
      </c>
      <c r="W68" s="48">
        <f t="shared" ref="W68:W71" si="22">+V68</f>
        <v>0</v>
      </c>
      <c r="X68" s="49"/>
      <c r="Y68" s="46" t="s">
        <v>9</v>
      </c>
      <c r="Z68" s="47">
        <f>IF(X$29="d",1,0)+IF(X$35="d",1,0)</f>
        <v>0</v>
      </c>
      <c r="AA68" s="48">
        <f t="shared" ref="AA68:AA71" si="23">+Z68</f>
        <v>0</v>
      </c>
      <c r="AB68" s="150">
        <f>SUM(C68,G68,K68,O68,S68,W68,AA68)</f>
        <v>7</v>
      </c>
      <c r="AF68" s="116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</row>
    <row r="69" spans="1:81" s="6" customFormat="1" ht="12" customHeight="1">
      <c r="A69" s="46" t="s">
        <v>8</v>
      </c>
      <c r="B69" s="47">
        <f>IF(F$28="d",1,0)+IF(F$36="d",1,0)</f>
        <v>2</v>
      </c>
      <c r="C69" s="48">
        <f>+B69</f>
        <v>2</v>
      </c>
      <c r="D69" s="49"/>
      <c r="E69" s="50" t="s">
        <v>8</v>
      </c>
      <c r="F69" s="47">
        <f>IF(I$29="d",1,0)+IF(I$32="d",1,0)</f>
        <v>0</v>
      </c>
      <c r="G69" s="48">
        <f t="shared" si="18"/>
        <v>0</v>
      </c>
      <c r="H69" s="49"/>
      <c r="I69" s="46" t="s">
        <v>8</v>
      </c>
      <c r="J69" s="47">
        <f>IF(L$30="d",1,0)+IF(L$35="d",1,0)</f>
        <v>1</v>
      </c>
      <c r="K69" s="48">
        <f t="shared" si="19"/>
        <v>1</v>
      </c>
      <c r="L69" s="49"/>
      <c r="M69" s="46" t="s">
        <v>8</v>
      </c>
      <c r="N69" s="47">
        <f>IF(O$28="d",1,0)+IF(P$32="s",IF(O$32="d",1,0),0)+IF(P$34="s",IF(O$34="d",1,0),0)</f>
        <v>2</v>
      </c>
      <c r="O69" s="48">
        <f t="shared" si="20"/>
        <v>2</v>
      </c>
      <c r="P69" s="49"/>
      <c r="Q69" s="46" t="s">
        <v>8</v>
      </c>
      <c r="R69" s="47">
        <f>IF(R$35="d",1,0)+IF(S$30="s",IF(R$30="d",1,0),0)+IF(S$31="s",IF(R$31="d",1,0),0)</f>
        <v>0</v>
      </c>
      <c r="S69" s="48">
        <f t="shared" si="21"/>
        <v>0</v>
      </c>
      <c r="T69" s="49"/>
      <c r="U69" s="46" t="s">
        <v>8</v>
      </c>
      <c r="V69" s="47">
        <f>IF(U$27="d",1,0)+IF(U$35="d",1,0)</f>
        <v>1</v>
      </c>
      <c r="W69" s="48">
        <f t="shared" si="22"/>
        <v>1</v>
      </c>
      <c r="X69" s="49"/>
      <c r="Y69" s="46" t="s">
        <v>8</v>
      </c>
      <c r="Z69" s="47">
        <f>IF(X$27="d",1,0)+IF(X$34="d",1,0)</f>
        <v>0</v>
      </c>
      <c r="AA69" s="48">
        <f t="shared" si="23"/>
        <v>0</v>
      </c>
      <c r="AB69" s="150">
        <f>SUM(C69,G69,K69,O69,S69,W69,AA69)</f>
        <v>6</v>
      </c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</row>
    <row r="70" spans="1:81" s="6" customFormat="1" ht="12" customHeight="1">
      <c r="A70" s="46" t="s">
        <v>0</v>
      </c>
      <c r="B70" s="47">
        <f>IF(F$31="d",1,0)+IF(F$32="d",1,0)</f>
        <v>0</v>
      </c>
      <c r="C70" s="48">
        <f>+B70</f>
        <v>0</v>
      </c>
      <c r="D70" s="49"/>
      <c r="E70" s="50" t="s">
        <v>0</v>
      </c>
      <c r="F70" s="47">
        <f>IF(I$28="d",1,0)+IF(I$33="d",1,0)</f>
        <v>1</v>
      </c>
      <c r="G70" s="48">
        <f t="shared" si="18"/>
        <v>1</v>
      </c>
      <c r="H70" s="49"/>
      <c r="I70" s="46" t="s">
        <v>0</v>
      </c>
      <c r="J70" s="47">
        <f>IF(L$29="d",1,0)+IF(L$36="d",1,0)</f>
        <v>1</v>
      </c>
      <c r="K70" s="48">
        <f t="shared" si="19"/>
        <v>1</v>
      </c>
      <c r="L70" s="49"/>
      <c r="M70" s="46" t="s">
        <v>0</v>
      </c>
      <c r="N70" s="47">
        <f>IF(O$31="d",1,0)+IF(P$32="a",IF(O$32="d",1,0),0)+IF(P$34="a",IF(O$34="d",1,0),0)</f>
        <v>1</v>
      </c>
      <c r="O70" s="48">
        <f t="shared" si="20"/>
        <v>1</v>
      </c>
      <c r="P70" s="49"/>
      <c r="Q70" s="46" t="s">
        <v>0</v>
      </c>
      <c r="R70" s="47">
        <f>IF(R$36="d",1,0)+IF(S$30="a",IF(R$30="d",1,0),0)+IF(S$31="a",IF(R$31="d",1,0),0)</f>
        <v>0</v>
      </c>
      <c r="S70" s="48">
        <f t="shared" si="21"/>
        <v>0</v>
      </c>
      <c r="T70" s="49"/>
      <c r="U70" s="46" t="s">
        <v>0</v>
      </c>
      <c r="V70" s="47">
        <f>IF(U$31="d",1,0)+IF(U$32="d",1,0)</f>
        <v>0</v>
      </c>
      <c r="W70" s="48">
        <f t="shared" si="22"/>
        <v>0</v>
      </c>
      <c r="X70" s="49"/>
      <c r="Y70" s="46" t="s">
        <v>0</v>
      </c>
      <c r="Z70" s="47">
        <f>IF(X$30="d",1,0)+IF(X$36="d",1,0)</f>
        <v>1</v>
      </c>
      <c r="AA70" s="48">
        <f t="shared" si="23"/>
        <v>1</v>
      </c>
      <c r="AB70" s="150">
        <f>SUM(C70,G70,K70,O70,S70,W70,AA70)</f>
        <v>4</v>
      </c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</row>
    <row r="71" spans="1:81" s="6" customFormat="1" ht="12" customHeight="1">
      <c r="A71" s="114" t="s">
        <v>51</v>
      </c>
      <c r="B71" s="47">
        <f>IF(F$29="d",1,0)+IF(F$34="d",1,0)</f>
        <v>0</v>
      </c>
      <c r="C71" s="48">
        <f>+B71</f>
        <v>0</v>
      </c>
      <c r="D71" s="49"/>
      <c r="E71" s="115" t="s">
        <v>51</v>
      </c>
      <c r="F71" s="47">
        <f>IF(I$31="d",1,0)+IF(I$34="d",1,0)</f>
        <v>1</v>
      </c>
      <c r="G71" s="48">
        <f t="shared" si="18"/>
        <v>1</v>
      </c>
      <c r="H71" s="49"/>
      <c r="I71" s="114" t="s">
        <v>51</v>
      </c>
      <c r="J71" s="47">
        <f>IF(L$31="d",1,0)+IF(L$34="d",1,0)</f>
        <v>0</v>
      </c>
      <c r="K71" s="48">
        <f t="shared" si="19"/>
        <v>0</v>
      </c>
      <c r="L71" s="49"/>
      <c r="M71" s="114" t="s">
        <v>51</v>
      </c>
      <c r="N71" s="47">
        <f>IF(O$29="d",1,0)+IF(O$35="d",1,0)</f>
        <v>0</v>
      </c>
      <c r="O71" s="48">
        <f t="shared" si="20"/>
        <v>0</v>
      </c>
      <c r="P71" s="49"/>
      <c r="Q71" s="114" t="s">
        <v>51</v>
      </c>
      <c r="R71" s="47">
        <f>IF(R$27="d",1,0)+IF(R$32="d",1,0)</f>
        <v>0</v>
      </c>
      <c r="S71" s="48">
        <f t="shared" si="21"/>
        <v>0</v>
      </c>
      <c r="T71" s="49"/>
      <c r="U71" s="114" t="s">
        <v>51</v>
      </c>
      <c r="V71" s="47">
        <f>IF(U$29="d",1,0)+IF(U$33="d",1,0)</f>
        <v>0</v>
      </c>
      <c r="W71" s="48">
        <f t="shared" si="22"/>
        <v>0</v>
      </c>
      <c r="X71" s="49"/>
      <c r="Y71" s="114" t="s">
        <v>51</v>
      </c>
      <c r="Z71" s="47">
        <f>IF(X$28="d",1,0)+IF(X$32="d",1,0)</f>
        <v>0</v>
      </c>
      <c r="AA71" s="48">
        <f t="shared" si="23"/>
        <v>0</v>
      </c>
      <c r="AB71" s="150">
        <f>SUM(C71,G71,K71,O71,S71,W71,AA71)</f>
        <v>1</v>
      </c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</row>
    <row r="72" spans="1:81" s="6" customFormat="1" ht="12" customHeight="1">
      <c r="A72" s="51"/>
      <c r="B72" s="88" t="s">
        <v>43</v>
      </c>
      <c r="C72" s="48">
        <f>SUM(C67:C71)</f>
        <v>4</v>
      </c>
      <c r="D72" s="49"/>
      <c r="E72" s="47"/>
      <c r="F72" s="88" t="s">
        <v>43</v>
      </c>
      <c r="G72" s="48">
        <f>SUM(G67:G71)</f>
        <v>5</v>
      </c>
      <c r="H72" s="49"/>
      <c r="I72" s="51"/>
      <c r="J72" s="88" t="s">
        <v>43</v>
      </c>
      <c r="K72" s="48">
        <f>SUM(K67:K71)</f>
        <v>5</v>
      </c>
      <c r="L72" s="49"/>
      <c r="M72" s="51"/>
      <c r="N72" s="88" t="s">
        <v>43</v>
      </c>
      <c r="O72" s="48">
        <f>SUM(O67:O71)</f>
        <v>3</v>
      </c>
      <c r="P72" s="49"/>
      <c r="Q72" s="51"/>
      <c r="R72" s="88" t="s">
        <v>43</v>
      </c>
      <c r="S72" s="48">
        <f>SUM(S67:S71)</f>
        <v>3</v>
      </c>
      <c r="T72" s="49"/>
      <c r="U72" s="51"/>
      <c r="V72" s="88" t="s">
        <v>43</v>
      </c>
      <c r="W72" s="48">
        <f>SUM(W67:W71)</f>
        <v>3</v>
      </c>
      <c r="X72" s="49"/>
      <c r="Y72" s="51"/>
      <c r="Z72" s="88" t="s">
        <v>43</v>
      </c>
      <c r="AA72" s="48">
        <f>SUM(AA67:AA71)</f>
        <v>1</v>
      </c>
      <c r="AB72" s="151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</row>
    <row r="73" spans="1:81" s="6" customFormat="1" ht="12" customHeight="1">
      <c r="A73" s="166" t="s">
        <v>72</v>
      </c>
      <c r="B73" s="167"/>
      <c r="C73" s="167"/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  <c r="AB73" s="168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</row>
    <row r="74" spans="1:81" s="6" customFormat="1" ht="12" customHeight="1">
      <c r="A74" s="46" t="s">
        <v>7</v>
      </c>
      <c r="B74" s="47">
        <f>IF(F$27="e",1,0)+IF(F$35="e",1,0)</f>
        <v>0</v>
      </c>
      <c r="C74" s="48">
        <v>0</v>
      </c>
      <c r="D74" s="49"/>
      <c r="E74" s="50" t="s">
        <v>7</v>
      </c>
      <c r="F74" s="47">
        <f>IF(I$27="e",1,0)+IF(I$35="e",1,0)</f>
        <v>0</v>
      </c>
      <c r="G74" s="48">
        <v>0</v>
      </c>
      <c r="H74" s="49"/>
      <c r="I74" s="46" t="s">
        <v>7</v>
      </c>
      <c r="J74" s="47">
        <f>IF(L$28="e",1,0)+IF(L$33="e",1,0)</f>
        <v>0</v>
      </c>
      <c r="K74" s="48">
        <v>0</v>
      </c>
      <c r="L74" s="49"/>
      <c r="M74" s="46" t="s">
        <v>7</v>
      </c>
      <c r="N74" s="47">
        <f>IF(O$27="e",1,0)+IF(O$33="e",1,0)</f>
        <v>1</v>
      </c>
      <c r="O74" s="48">
        <v>0</v>
      </c>
      <c r="P74" s="49"/>
      <c r="Q74" s="46" t="s">
        <v>7</v>
      </c>
      <c r="R74" s="47">
        <f>IF(R$28="e",1,0)+IF(R$34="e",1,0)</f>
        <v>0</v>
      </c>
      <c r="S74" s="48">
        <v>0</v>
      </c>
      <c r="T74" s="49"/>
      <c r="U74" s="46" t="s">
        <v>7</v>
      </c>
      <c r="V74" s="47">
        <f>IF(U$28="e",1,0)+IF(U$34="e",1,0)</f>
        <v>0</v>
      </c>
      <c r="W74" s="48">
        <v>0</v>
      </c>
      <c r="X74" s="49"/>
      <c r="Y74" s="46" t="s">
        <v>7</v>
      </c>
      <c r="Z74" s="47">
        <f>IF(X$31="e",1,0)+IF(X$33="e",1,0)</f>
        <v>0</v>
      </c>
      <c r="AA74" s="48">
        <v>0</v>
      </c>
      <c r="AB74" s="150">
        <f>SUM(C74,G74,K74,O74,S74,S74,W74,AA74)</f>
        <v>0</v>
      </c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</row>
    <row r="75" spans="1:81" s="6" customFormat="1" ht="12" customHeight="1">
      <c r="A75" s="46" t="s">
        <v>9</v>
      </c>
      <c r="B75" s="47">
        <f>IF(F$30="e",1,0)+IF(F$33="e",1,0)</f>
        <v>0</v>
      </c>
      <c r="C75" s="48">
        <v>0</v>
      </c>
      <c r="D75" s="49"/>
      <c r="E75" s="50" t="s">
        <v>9</v>
      </c>
      <c r="F75" s="47">
        <f>IF(I$30="e",1,0)+IF(I$36="e",1,0)</f>
        <v>0</v>
      </c>
      <c r="G75" s="48">
        <v>0</v>
      </c>
      <c r="H75" s="49"/>
      <c r="I75" s="46" t="s">
        <v>9</v>
      </c>
      <c r="J75" s="47">
        <f>IF(L$27="e",1,0)+IF(L$32="e",1,0)</f>
        <v>0</v>
      </c>
      <c r="K75" s="48">
        <v>0</v>
      </c>
      <c r="L75" s="49"/>
      <c r="M75" s="46" t="s">
        <v>9</v>
      </c>
      <c r="N75" s="47">
        <f>IF(O$30="e",1,0)+IF(O$36="e",1,0)</f>
        <v>0</v>
      </c>
      <c r="O75" s="48">
        <v>0</v>
      </c>
      <c r="P75" s="49"/>
      <c r="Q75" s="46" t="s">
        <v>9</v>
      </c>
      <c r="R75" s="47">
        <f>IF(R$29="e",1,0)+IF(R$33="e",1,0)</f>
        <v>0</v>
      </c>
      <c r="S75" s="48">
        <v>0</v>
      </c>
      <c r="T75" s="49"/>
      <c r="U75" s="46" t="s">
        <v>9</v>
      </c>
      <c r="V75" s="47">
        <f>IF(U$30="e",1,0)+IF(U$36="e",1,0)</f>
        <v>0</v>
      </c>
      <c r="W75" s="48">
        <v>0</v>
      </c>
      <c r="X75" s="49"/>
      <c r="Y75" s="46" t="s">
        <v>9</v>
      </c>
      <c r="Z75" s="47">
        <f>IF(X$29="e",1,0)+IF(X$35="e",1,0)</f>
        <v>0</v>
      </c>
      <c r="AA75" s="48">
        <v>0</v>
      </c>
      <c r="AB75" s="150">
        <f>SUM(C75,G75,K75,O75,S75,W75,AA75)</f>
        <v>0</v>
      </c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</row>
    <row r="76" spans="1:81" s="6" customFormat="1" ht="12" customHeight="1">
      <c r="A76" s="46" t="s">
        <v>8</v>
      </c>
      <c r="B76" s="47">
        <f>IF(F$28="e",1,0)+IF(F$36="e",1,0)</f>
        <v>0</v>
      </c>
      <c r="C76" s="48">
        <v>0</v>
      </c>
      <c r="D76" s="49"/>
      <c r="E76" s="50" t="s">
        <v>8</v>
      </c>
      <c r="F76" s="47">
        <f>IF(I$29="e",1,0)+IF(I$32="e",1,0)</f>
        <v>1</v>
      </c>
      <c r="G76" s="48">
        <v>0</v>
      </c>
      <c r="H76" s="49"/>
      <c r="I76" s="46" t="s">
        <v>8</v>
      </c>
      <c r="J76" s="47">
        <f>IF(L$30="e",1,0)+IF(L$35="e",1,0)</f>
        <v>1</v>
      </c>
      <c r="K76" s="48">
        <v>0</v>
      </c>
      <c r="L76" s="49"/>
      <c r="M76" s="46" t="s">
        <v>8</v>
      </c>
      <c r="N76" s="47">
        <f>IF(O$28="e",1,0)+IF(P$32="s",IF(O$32="e",1,0),0)+IF(P$34="s",IF(O$34="e",1,0),0)</f>
        <v>0</v>
      </c>
      <c r="O76" s="48">
        <v>0</v>
      </c>
      <c r="P76" s="49"/>
      <c r="Q76" s="46" t="s">
        <v>8</v>
      </c>
      <c r="R76" s="47">
        <f>IF(R$35="e",1,0)+IF(S$30="s",IF(R$30="e",1,0),0)+IF(S$31="s",IF(R$31="e",1,0),0)</f>
        <v>1</v>
      </c>
      <c r="S76" s="48">
        <v>0</v>
      </c>
      <c r="T76" s="49"/>
      <c r="U76" s="46" t="s">
        <v>8</v>
      </c>
      <c r="V76" s="47">
        <f>IF(U$27="e",1,0)+IF(U$35="e",1,0)</f>
        <v>0</v>
      </c>
      <c r="W76" s="48">
        <v>0</v>
      </c>
      <c r="X76" s="49"/>
      <c r="Y76" s="46" t="s">
        <v>8</v>
      </c>
      <c r="Z76" s="47">
        <f>IF(X$27="e",1,0)+IF(X$34="e",1,0)</f>
        <v>1</v>
      </c>
      <c r="AA76" s="48">
        <v>0</v>
      </c>
      <c r="AB76" s="150">
        <f>SUM(C76,G76,K76,O76,S76,W76,AA76)</f>
        <v>0</v>
      </c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</row>
    <row r="77" spans="1:81" s="6" customFormat="1" ht="12" customHeight="1">
      <c r="A77" s="46" t="s">
        <v>0</v>
      </c>
      <c r="B77" s="47">
        <f>IF(F$31="e",1,0)+IF(F$32="e",1,0)</f>
        <v>1</v>
      </c>
      <c r="C77" s="48">
        <v>0</v>
      </c>
      <c r="D77" s="49"/>
      <c r="E77" s="50" t="s">
        <v>0</v>
      </c>
      <c r="F77" s="47">
        <f>IF(I$28="e",1,0)+IF(I$33="e",1,0)</f>
        <v>0</v>
      </c>
      <c r="G77" s="48">
        <v>0</v>
      </c>
      <c r="H77" s="49"/>
      <c r="I77" s="46" t="s">
        <v>0</v>
      </c>
      <c r="J77" s="47">
        <f>IF(L$29="e",1,0)+IF(L$36="e",1,0)</f>
        <v>1</v>
      </c>
      <c r="K77" s="48">
        <v>0</v>
      </c>
      <c r="L77" s="49"/>
      <c r="M77" s="46" t="s">
        <v>0</v>
      </c>
      <c r="N77" s="47">
        <f>IF(O$31="e",1,0)+IF(P$32="a",IF(O$32="e",1,0),0)+IF(P$34="a",IF(O$34="e",1,0),0)</f>
        <v>1</v>
      </c>
      <c r="O77" s="48">
        <v>0</v>
      </c>
      <c r="P77" s="49"/>
      <c r="Q77" s="46" t="s">
        <v>0</v>
      </c>
      <c r="R77" s="47">
        <f>IF(R$36="e",1,0)+IF(S$30="a",IF(R$30="e",1,0),0)+IF(S$31="a",IF(R$31="e",1,0),0)</f>
        <v>2</v>
      </c>
      <c r="S77" s="48">
        <v>0</v>
      </c>
      <c r="T77" s="49"/>
      <c r="U77" s="46" t="s">
        <v>0</v>
      </c>
      <c r="V77" s="47">
        <f>IF(U$31="e",1,0)+IF(U$32="e",1,0)</f>
        <v>0</v>
      </c>
      <c r="W77" s="48">
        <v>0</v>
      </c>
      <c r="X77" s="49"/>
      <c r="Y77" s="46" t="s">
        <v>0</v>
      </c>
      <c r="Z77" s="47">
        <f>IF(X$30="e",1,0)+IF(X$36="e",1,0)</f>
        <v>0</v>
      </c>
      <c r="AA77" s="48">
        <v>0</v>
      </c>
      <c r="AB77" s="150">
        <f>SUM(C77,G77,K77,O77,S77,W77,AA77)</f>
        <v>0</v>
      </c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</row>
    <row r="78" spans="1:81" s="6" customFormat="1" ht="12" customHeight="1">
      <c r="A78" s="114" t="s">
        <v>51</v>
      </c>
      <c r="B78" s="47">
        <f>IF(F$29="e",1,0)+IF(F$34="e",1,0)</f>
        <v>0</v>
      </c>
      <c r="C78" s="48">
        <v>0</v>
      </c>
      <c r="D78" s="49"/>
      <c r="E78" s="115" t="s">
        <v>51</v>
      </c>
      <c r="F78" s="47">
        <f>IF(I$31="e",1,0)+IF(I$34="e",1,0)</f>
        <v>0</v>
      </c>
      <c r="G78" s="48">
        <v>0</v>
      </c>
      <c r="H78" s="49"/>
      <c r="I78" s="114" t="s">
        <v>51</v>
      </c>
      <c r="J78" s="47">
        <f>IF(L$31="e",1,0)+IF(L$34="e",1,0)</f>
        <v>0</v>
      </c>
      <c r="K78" s="48">
        <v>0</v>
      </c>
      <c r="L78" s="49"/>
      <c r="M78" s="114" t="s">
        <v>51</v>
      </c>
      <c r="N78" s="47">
        <f>IF(O$29="e",1,0)+IF(O$35="e",1,0)</f>
        <v>0</v>
      </c>
      <c r="O78" s="48">
        <v>0</v>
      </c>
      <c r="P78" s="49"/>
      <c r="Q78" s="114" t="s">
        <v>51</v>
      </c>
      <c r="R78" s="47">
        <f>IF(R$27="e",1,0)+IF(R$32="e",1,0)</f>
        <v>0</v>
      </c>
      <c r="S78" s="48">
        <v>0</v>
      </c>
      <c r="T78" s="49"/>
      <c r="U78" s="114" t="s">
        <v>51</v>
      </c>
      <c r="V78" s="47">
        <f>IF(U$29="e",1,0)+IF(U$33="e",1,0)</f>
        <v>0</v>
      </c>
      <c r="W78" s="48">
        <v>0</v>
      </c>
      <c r="X78" s="49"/>
      <c r="Y78" s="114" t="s">
        <v>51</v>
      </c>
      <c r="Z78" s="47">
        <f>IF(X$28="e",1,0)+IF(X$32="e",1,0)</f>
        <v>0</v>
      </c>
      <c r="AA78" s="48">
        <v>0</v>
      </c>
      <c r="AB78" s="150">
        <f>SUM(C78,G78,K78,O78,S78,W78,AA78)</f>
        <v>0</v>
      </c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</row>
    <row r="79" spans="1:81" s="6" customFormat="1" ht="12" customHeight="1" thickBot="1">
      <c r="A79" s="51"/>
      <c r="B79" s="88" t="s">
        <v>43</v>
      </c>
      <c r="C79" s="48">
        <f>SUM(C74:C78)</f>
        <v>0</v>
      </c>
      <c r="D79" s="49"/>
      <c r="E79" s="47"/>
      <c r="F79" s="88" t="s">
        <v>43</v>
      </c>
      <c r="G79" s="48">
        <f>SUM(G74:G78)</f>
        <v>0</v>
      </c>
      <c r="H79" s="49"/>
      <c r="I79" s="51"/>
      <c r="J79" s="88" t="s">
        <v>43</v>
      </c>
      <c r="K79" s="48">
        <f>SUM(K74:K78)</f>
        <v>0</v>
      </c>
      <c r="L79" s="49"/>
      <c r="M79" s="51"/>
      <c r="N79" s="88" t="s">
        <v>43</v>
      </c>
      <c r="O79" s="48">
        <f>SUM(O74:O78)</f>
        <v>0</v>
      </c>
      <c r="P79" s="49"/>
      <c r="Q79" s="51"/>
      <c r="R79" s="88" t="s">
        <v>43</v>
      </c>
      <c r="S79" s="48">
        <f>SUM(S74:S78)</f>
        <v>0</v>
      </c>
      <c r="T79" s="49"/>
      <c r="U79" s="51"/>
      <c r="V79" s="88" t="s">
        <v>43</v>
      </c>
      <c r="W79" s="48">
        <f>SUM(W74:W78)</f>
        <v>0</v>
      </c>
      <c r="X79" s="49"/>
      <c r="Y79" s="51"/>
      <c r="Z79" s="88" t="s">
        <v>43</v>
      </c>
      <c r="AA79" s="48">
        <f>SUM(AA74:AA78)</f>
        <v>0</v>
      </c>
      <c r="AB79" s="79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</row>
    <row r="80" spans="1:81" s="6" customFormat="1" ht="15" customHeight="1">
      <c r="A80" s="55" t="s">
        <v>1</v>
      </c>
      <c r="B80" s="50"/>
      <c r="C80" s="59" t="s">
        <v>10</v>
      </c>
      <c r="D80" s="52"/>
      <c r="E80" s="59" t="s">
        <v>2</v>
      </c>
      <c r="F80" s="50"/>
      <c r="G80" s="59" t="s">
        <v>10</v>
      </c>
      <c r="H80" s="52"/>
      <c r="I80" s="127" t="s">
        <v>54</v>
      </c>
      <c r="J80" s="50"/>
      <c r="K80" s="59" t="s">
        <v>10</v>
      </c>
      <c r="L80" s="52"/>
      <c r="M80" s="55" t="s">
        <v>3</v>
      </c>
      <c r="N80" s="50"/>
      <c r="O80" s="59" t="s">
        <v>10</v>
      </c>
      <c r="P80" s="52"/>
      <c r="Q80" s="164" t="s">
        <v>4</v>
      </c>
      <c r="R80" s="165"/>
      <c r="S80" s="59" t="s">
        <v>10</v>
      </c>
      <c r="T80" s="52"/>
      <c r="U80" s="55" t="s">
        <v>5</v>
      </c>
      <c r="V80" s="50"/>
      <c r="W80" s="59" t="s">
        <v>10</v>
      </c>
      <c r="X80" s="52"/>
      <c r="Y80" s="55" t="s">
        <v>6</v>
      </c>
      <c r="Z80" s="50"/>
      <c r="AA80" s="153" t="s">
        <v>69</v>
      </c>
      <c r="AB80" s="96" t="s">
        <v>43</v>
      </c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</row>
    <row r="81" spans="1:81" s="6" customFormat="1" ht="12" customHeight="1">
      <c r="A81" s="56" t="s">
        <v>12</v>
      </c>
      <c r="B81" s="50"/>
      <c r="C81" s="53">
        <f>SUM(C46, C53, C60, C67, C74)</f>
        <v>3</v>
      </c>
      <c r="D81" s="54"/>
      <c r="E81" s="58" t="s">
        <v>12</v>
      </c>
      <c r="F81" s="50"/>
      <c r="G81" s="50">
        <f>SUM(G46,G53, G60, G67, G74)</f>
        <v>3</v>
      </c>
      <c r="H81" s="52"/>
      <c r="I81" s="57" t="s">
        <v>12</v>
      </c>
      <c r="J81" s="50"/>
      <c r="K81" s="50">
        <f>SUM(K46, K53, K60, K67, K74)</f>
        <v>3</v>
      </c>
      <c r="L81" s="52"/>
      <c r="M81" s="57" t="s">
        <v>12</v>
      </c>
      <c r="N81" s="50"/>
      <c r="O81" s="50">
        <f>SUM(O46, O53, O60, O67, O74)</f>
        <v>2</v>
      </c>
      <c r="P81" s="52"/>
      <c r="Q81" s="57" t="s">
        <v>12</v>
      </c>
      <c r="R81" s="50"/>
      <c r="S81" s="50">
        <f>SUM(S46, S53, S60, S67, S74)</f>
        <v>5</v>
      </c>
      <c r="T81" s="52"/>
      <c r="U81" s="57" t="s">
        <v>12</v>
      </c>
      <c r="V81" s="50"/>
      <c r="W81" s="50">
        <f>SUM(W46, W53, W60, W67, W74)</f>
        <v>2</v>
      </c>
      <c r="X81" s="52"/>
      <c r="Y81" s="57" t="s">
        <v>12</v>
      </c>
      <c r="Z81" s="50"/>
      <c r="AA81" s="50">
        <f>SUM(AA46, AA53, AA60, AA67, AA74)</f>
        <v>6</v>
      </c>
      <c r="AB81" s="97">
        <f>SUM(AB53,AB60,AB67,AB74,AB46)</f>
        <v>24</v>
      </c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</row>
    <row r="82" spans="1:81" s="6" customFormat="1" ht="12" customHeight="1">
      <c r="A82" s="57" t="s">
        <v>13</v>
      </c>
      <c r="B82" s="50"/>
      <c r="C82" s="53">
        <f>SUM(C47,C54,C61,C68,C75)</f>
        <v>3</v>
      </c>
      <c r="D82" s="54"/>
      <c r="E82" s="58" t="s">
        <v>13</v>
      </c>
      <c r="F82" s="50"/>
      <c r="G82" s="50">
        <f>SUM(G47,G54,G61,G68,G75)</f>
        <v>2</v>
      </c>
      <c r="H82" s="52"/>
      <c r="I82" s="57" t="s">
        <v>13</v>
      </c>
      <c r="J82" s="50"/>
      <c r="K82" s="50">
        <f>SUM(K47,K54,K61,K68,K75)</f>
        <v>2</v>
      </c>
      <c r="L82" s="52"/>
      <c r="M82" s="57" t="s">
        <v>13</v>
      </c>
      <c r="N82" s="50"/>
      <c r="O82" s="50">
        <f>SUM(O47,O54,O61,O68,O75)</f>
        <v>5</v>
      </c>
      <c r="P82" s="52"/>
      <c r="Q82" s="57" t="s">
        <v>13</v>
      </c>
      <c r="R82" s="50"/>
      <c r="S82" s="50">
        <f>SUM(S47,S54,S61,S68,S75)</f>
        <v>2</v>
      </c>
      <c r="T82" s="52"/>
      <c r="U82" s="57" t="s">
        <v>13</v>
      </c>
      <c r="V82" s="50"/>
      <c r="W82" s="50">
        <f>SUM(W47,W54,W61,W68,W75)</f>
        <v>5</v>
      </c>
      <c r="X82" s="52"/>
      <c r="Y82" s="57" t="s">
        <v>13</v>
      </c>
      <c r="Z82" s="50"/>
      <c r="AA82" s="50">
        <f>SUM(AA47,AA54,AA61,AA68,AA75)</f>
        <v>5</v>
      </c>
      <c r="AB82" s="98">
        <f>SUM(AB47, AB54, AB61, AB68, AB75)</f>
        <v>24</v>
      </c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</row>
    <row r="83" spans="1:81" s="6" customFormat="1" ht="12" customHeight="1">
      <c r="A83" s="57" t="s">
        <v>14</v>
      </c>
      <c r="B83" s="50"/>
      <c r="C83" s="53">
        <f>SUM(C48,C55,C62,C69,C76)</f>
        <v>2</v>
      </c>
      <c r="D83" s="54"/>
      <c r="E83" s="58" t="s">
        <v>14</v>
      </c>
      <c r="F83" s="50"/>
      <c r="G83" s="50">
        <f>SUM(G48,G55,G62,G69,G76)</f>
        <v>2</v>
      </c>
      <c r="H83" s="52"/>
      <c r="I83" s="57" t="s">
        <v>14</v>
      </c>
      <c r="J83" s="50"/>
      <c r="K83" s="50">
        <f>SUM(K48,K55,K62,K69,K76)</f>
        <v>1</v>
      </c>
      <c r="L83" s="52"/>
      <c r="M83" s="57" t="s">
        <v>14</v>
      </c>
      <c r="N83" s="50"/>
      <c r="O83" s="50">
        <f>SUM(O48,O55,O62,O69,O76)</f>
        <v>2</v>
      </c>
      <c r="P83" s="52"/>
      <c r="Q83" s="57" t="s">
        <v>14</v>
      </c>
      <c r="R83" s="50"/>
      <c r="S83" s="50">
        <f>SUM(S48,S55,S62,S69,S76)</f>
        <v>2</v>
      </c>
      <c r="T83" s="52"/>
      <c r="U83" s="57" t="s">
        <v>14</v>
      </c>
      <c r="V83" s="50"/>
      <c r="W83" s="50">
        <f>SUM(W48,W55,W62,W69,W76)</f>
        <v>3</v>
      </c>
      <c r="X83" s="52"/>
      <c r="Y83" s="57" t="s">
        <v>14</v>
      </c>
      <c r="Z83" s="50"/>
      <c r="AA83" s="50">
        <f>SUM(AA48,AA55,AA62,AA69,AA76)</f>
        <v>2</v>
      </c>
      <c r="AB83" s="98">
        <f>SUM(AB48, AB55, AB62, AB69, AB76)</f>
        <v>14</v>
      </c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</row>
    <row r="84" spans="1:81" s="6" customFormat="1" ht="12" customHeight="1">
      <c r="A84" s="57" t="s">
        <v>15</v>
      </c>
      <c r="B84" s="50"/>
      <c r="C84" s="53">
        <f>SUM(C49,C56,C63,C70,C77)</f>
        <v>3</v>
      </c>
      <c r="D84" s="54"/>
      <c r="E84" s="58" t="s">
        <v>15</v>
      </c>
      <c r="F84" s="50"/>
      <c r="G84" s="50">
        <f>SUM(G49,G56,G63,G70,G77)</f>
        <v>3</v>
      </c>
      <c r="H84" s="52"/>
      <c r="I84" s="57" t="s">
        <v>15</v>
      </c>
      <c r="J84" s="50"/>
      <c r="K84" s="50">
        <f>SUM(K49,K56,K63,K70,K77)</f>
        <v>1</v>
      </c>
      <c r="L84" s="52"/>
      <c r="M84" s="57" t="s">
        <v>15</v>
      </c>
      <c r="N84" s="50"/>
      <c r="O84" s="50">
        <f>SUM(O49,O56,O63,O70,O77)</f>
        <v>1</v>
      </c>
      <c r="P84" s="52"/>
      <c r="Q84" s="57" t="s">
        <v>15</v>
      </c>
      <c r="R84" s="50"/>
      <c r="S84" s="50">
        <f>SUM(S49,S56,S63,S70,S77)</f>
        <v>0</v>
      </c>
      <c r="T84" s="52"/>
      <c r="U84" s="57" t="s">
        <v>15</v>
      </c>
      <c r="V84" s="50"/>
      <c r="W84" s="50">
        <f>SUM(W49,W57,W64,W71,W78)</f>
        <v>6</v>
      </c>
      <c r="X84" s="52"/>
      <c r="Y84" s="57" t="s">
        <v>15</v>
      </c>
      <c r="Z84" s="50"/>
      <c r="AA84" s="50">
        <f>SUM(AA49,AA56,AA63,AA70,AA77)</f>
        <v>3</v>
      </c>
      <c r="AB84" s="98">
        <f>SUM(AB49, AB56, AB63, AB70, AB77)</f>
        <v>16</v>
      </c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</row>
    <row r="85" spans="1:81" s="6" customFormat="1" ht="12" customHeight="1" thickBot="1">
      <c r="A85" s="68" t="s">
        <v>52</v>
      </c>
      <c r="B85" s="69"/>
      <c r="C85" s="70">
        <f>SUM(C50,C57,C64,C71,C78)</f>
        <v>8</v>
      </c>
      <c r="D85" s="71"/>
      <c r="E85" s="72" t="s">
        <v>52</v>
      </c>
      <c r="F85" s="69"/>
      <c r="G85" s="69">
        <f>SUM(G50,G57,G64,G71,G78)</f>
        <v>3</v>
      </c>
      <c r="H85" s="73"/>
      <c r="I85" s="68" t="s">
        <v>52</v>
      </c>
      <c r="J85" s="69"/>
      <c r="K85" s="69">
        <f>SUM(K50,K57,K64,K71,K78)</f>
        <v>6</v>
      </c>
      <c r="L85" s="73"/>
      <c r="M85" s="68" t="s">
        <v>52</v>
      </c>
      <c r="N85" s="69"/>
      <c r="O85" s="69">
        <f>SUM(O50,O57,O64,O71,O78)</f>
        <v>6</v>
      </c>
      <c r="P85" s="73"/>
      <c r="Q85" s="68" t="s">
        <v>52</v>
      </c>
      <c r="R85" s="69"/>
      <c r="S85" s="69">
        <f>SUM(S50,S57,S64,S71,S78)</f>
        <v>7</v>
      </c>
      <c r="T85" s="73"/>
      <c r="U85" s="68" t="s">
        <v>52</v>
      </c>
      <c r="V85" s="69"/>
      <c r="W85" s="69">
        <f>SUM(W50,W57,W64,W71,W78)</f>
        <v>6</v>
      </c>
      <c r="X85" s="73"/>
      <c r="Y85" s="68" t="s">
        <v>52</v>
      </c>
      <c r="Z85" s="69"/>
      <c r="AA85" s="69">
        <f>SUM(AA50,AA57,AA64,AA71,AA78)</f>
        <v>7</v>
      </c>
      <c r="AB85" s="99">
        <f>SUM(AB50, AB57, AB64, AB71, AB78)</f>
        <v>43</v>
      </c>
      <c r="AD85"/>
      <c r="AE85"/>
      <c r="AF85"/>
      <c r="AG85"/>
      <c r="AH85"/>
      <c r="AI85"/>
      <c r="AJ85"/>
      <c r="AK85"/>
      <c r="AL85"/>
      <c r="AM85"/>
      <c r="AN85"/>
      <c r="AO85"/>
      <c r="AQ85"/>
      <c r="AR85"/>
      <c r="AS85"/>
      <c r="AT85"/>
      <c r="AU85"/>
      <c r="AV85"/>
      <c r="AW85"/>
      <c r="AX85"/>
      <c r="AY85" s="91"/>
      <c r="AZ85" s="91"/>
      <c r="BA85" s="91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</row>
    <row r="86" spans="1:81" s="6" customFormat="1" ht="12" customHeight="1">
      <c r="A86" s="130"/>
      <c r="B86" s="130"/>
      <c r="C86" s="53"/>
      <c r="D86" s="53"/>
      <c r="E86" s="155"/>
      <c r="F86" s="155"/>
      <c r="G86" s="50"/>
      <c r="H86" s="50"/>
      <c r="I86" s="130"/>
      <c r="J86" s="130"/>
      <c r="K86" s="50"/>
      <c r="L86" s="50"/>
      <c r="M86" s="155"/>
      <c r="N86" s="155"/>
      <c r="O86" s="50"/>
      <c r="P86" s="50"/>
      <c r="Q86" s="155"/>
      <c r="R86" s="155"/>
      <c r="S86" s="50"/>
      <c r="T86" s="50"/>
      <c r="U86" s="155"/>
      <c r="V86" s="155"/>
      <c r="W86" s="50"/>
      <c r="X86" s="50"/>
      <c r="Y86" s="155"/>
      <c r="Z86" s="155"/>
      <c r="AA86" s="50"/>
      <c r="AB86" s="8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 s="91"/>
      <c r="AZ86" s="91"/>
      <c r="BA86" s="91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</row>
    <row r="87" spans="1:81" s="6" customFormat="1" ht="12" customHeight="1">
      <c r="A87" s="135"/>
      <c r="B87" s="135"/>
      <c r="C87" s="53"/>
      <c r="D87" s="53"/>
      <c r="E87" s="135"/>
      <c r="F87" s="135"/>
      <c r="G87" s="50"/>
      <c r="H87" s="50"/>
      <c r="I87" s="135"/>
      <c r="J87" s="135"/>
      <c r="K87" s="50"/>
      <c r="L87" s="50"/>
      <c r="M87" s="135"/>
      <c r="N87" s="135"/>
      <c r="O87" s="50"/>
      <c r="P87" s="50"/>
      <c r="Q87" s="135"/>
      <c r="R87" s="135"/>
      <c r="S87" s="50"/>
      <c r="T87" s="50"/>
      <c r="U87" s="135"/>
      <c r="V87" s="135"/>
      <c r="W87" s="50"/>
      <c r="X87" s="50"/>
      <c r="Y87" s="135"/>
      <c r="Z87" s="135"/>
      <c r="AA87" s="50"/>
      <c r="AB87" s="8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 s="91"/>
      <c r="AZ87" s="91"/>
      <c r="BA87" s="91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</row>
    <row r="88" spans="1:81" s="8" customFormat="1" ht="12" customHeight="1">
      <c r="A88" s="16"/>
      <c r="C88" s="15"/>
      <c r="D88" s="15"/>
      <c r="E88" s="16"/>
      <c r="I88" s="16"/>
      <c r="M88" s="16"/>
      <c r="Q88" s="16"/>
      <c r="U88" s="16"/>
      <c r="Y88" s="16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 s="91"/>
      <c r="AZ88" s="91"/>
      <c r="BA88" s="91"/>
      <c r="BB88" s="95"/>
      <c r="BC88" s="95"/>
      <c r="BD88" s="95"/>
      <c r="BE88" s="95"/>
      <c r="BF88" s="95"/>
      <c r="BG88" s="95"/>
      <c r="BH88" s="95"/>
      <c r="BI88" s="95"/>
      <c r="BJ88" s="95"/>
      <c r="BK88" s="95"/>
      <c r="BL88" s="95"/>
      <c r="BM88" s="95"/>
      <c r="BN88" s="95"/>
      <c r="BO88" s="95"/>
      <c r="BP88" s="95"/>
      <c r="BQ88" s="95"/>
      <c r="BR88" s="95"/>
      <c r="BS88" s="95"/>
      <c r="BT88" s="95"/>
      <c r="BU88" s="95"/>
      <c r="BV88" s="95"/>
      <c r="BW88" s="95"/>
      <c r="BX88" s="95"/>
      <c r="BY88" s="95"/>
      <c r="BZ88" s="95"/>
      <c r="CA88" s="95"/>
      <c r="CB88" s="95"/>
      <c r="CC88" s="95"/>
    </row>
    <row r="89" spans="1:81" s="6" customFormat="1" ht="12" customHeight="1">
      <c r="A89" s="16"/>
      <c r="B89" s="8"/>
      <c r="C89" s="15"/>
      <c r="D89" s="15"/>
      <c r="E89" s="16"/>
      <c r="F89" s="8"/>
      <c r="G89" s="8"/>
      <c r="H89" s="8"/>
      <c r="I89" s="16"/>
      <c r="J89" s="8"/>
      <c r="K89" s="8"/>
      <c r="L89" s="8"/>
      <c r="M89" s="16"/>
      <c r="N89" s="8"/>
      <c r="O89" s="8"/>
      <c r="P89" s="8"/>
      <c r="Q89" s="16"/>
      <c r="R89" s="8"/>
      <c r="S89" s="8"/>
      <c r="T89" s="8"/>
      <c r="U89" s="16"/>
      <c r="V89" s="8"/>
      <c r="W89" s="8"/>
      <c r="X89" s="8"/>
      <c r="Y89" s="16"/>
      <c r="Z89" s="8"/>
      <c r="AA89" s="8"/>
      <c r="AB89" s="8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 s="91"/>
      <c r="AZ89" s="91"/>
      <c r="BA89" s="91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</row>
    <row r="90" spans="1:81" s="6" customFormat="1" ht="12" customHeight="1">
      <c r="A90" s="16"/>
      <c r="B90" s="8"/>
      <c r="C90" s="15"/>
      <c r="D90" s="15"/>
      <c r="E90" s="16"/>
      <c r="F90" s="8"/>
      <c r="G90" s="8"/>
      <c r="H90" s="8"/>
      <c r="I90" s="16"/>
      <c r="J90" s="8"/>
      <c r="K90" s="8"/>
      <c r="L90" s="8"/>
      <c r="M90" s="16"/>
      <c r="N90" s="8"/>
      <c r="O90" s="8"/>
      <c r="P90" s="8"/>
      <c r="Q90" s="16"/>
      <c r="R90" s="8"/>
      <c r="S90" s="8"/>
      <c r="T90" s="8"/>
      <c r="U90" s="16"/>
      <c r="V90" s="8"/>
      <c r="W90" s="8"/>
      <c r="X90" s="8"/>
      <c r="Y90" s="16"/>
      <c r="Z90" s="8"/>
      <c r="AA90" s="8"/>
      <c r="AB90" s="8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 s="91"/>
      <c r="AZ90" s="91"/>
      <c r="BA90" s="91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</row>
    <row r="91" spans="1:81" s="6" customFormat="1" ht="12" customHeight="1">
      <c r="A91" s="16"/>
      <c r="B91" s="8"/>
      <c r="C91" s="15"/>
      <c r="D91" s="15"/>
      <c r="E91" s="16"/>
      <c r="F91" s="8"/>
      <c r="G91" s="8"/>
      <c r="H91" s="8"/>
      <c r="I91" s="16"/>
      <c r="J91" s="8"/>
      <c r="K91" s="8"/>
      <c r="L91" s="8"/>
      <c r="M91" s="16"/>
      <c r="N91" s="8"/>
      <c r="O91" s="8"/>
      <c r="P91" s="8"/>
      <c r="Q91" s="16"/>
      <c r="R91" s="8"/>
      <c r="S91" s="8"/>
      <c r="T91" s="8"/>
      <c r="U91" s="16"/>
      <c r="V91" s="8"/>
      <c r="W91" s="8"/>
      <c r="X91" s="8"/>
      <c r="Y91" s="16"/>
      <c r="Z91" s="8"/>
      <c r="AA91" s="8"/>
      <c r="AB91" s="8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 s="91"/>
      <c r="AZ91" s="91"/>
      <c r="BA91" s="91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</row>
    <row r="92" spans="1:81" s="6" customFormat="1" ht="12" customHeight="1">
      <c r="A92" s="16"/>
      <c r="B92" s="8"/>
      <c r="C92" s="15"/>
      <c r="D92" s="15"/>
      <c r="E92" s="16"/>
      <c r="F92" s="8"/>
      <c r="G92" s="8"/>
      <c r="H92" s="8"/>
      <c r="I92" s="16"/>
      <c r="J92" s="8"/>
      <c r="K92" s="8"/>
      <c r="L92" s="8"/>
      <c r="M92" s="16"/>
      <c r="N92" s="8"/>
      <c r="O92" s="8"/>
      <c r="P92" s="8"/>
      <c r="Q92" s="16"/>
      <c r="R92" s="8"/>
      <c r="S92" s="8"/>
      <c r="T92" s="8"/>
      <c r="U92" s="16"/>
      <c r="V92" s="8"/>
      <c r="W92" s="8"/>
      <c r="X92" s="8"/>
      <c r="Y92" s="16"/>
      <c r="Z92" s="8"/>
      <c r="AA92" s="8"/>
      <c r="AB92" s="8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 s="91"/>
      <c r="AZ92" s="91"/>
      <c r="BA92" s="91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</row>
    <row r="93" spans="1:81" s="6" customFormat="1" ht="14" customHeight="1"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 s="91"/>
      <c r="AZ93" s="91"/>
      <c r="BA93" s="91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</row>
    <row r="94" spans="1:81" s="6" customFormat="1" ht="14" customHeight="1"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 s="91"/>
      <c r="AZ94" s="91"/>
      <c r="BA94" s="91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</row>
    <row r="95" spans="1:81" s="6" customFormat="1" ht="14" customHeight="1"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 s="91"/>
      <c r="AZ95" s="91"/>
      <c r="BA95" s="91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</row>
    <row r="96" spans="1:81" s="6" customFormat="1" ht="14" customHeight="1"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 s="91"/>
      <c r="AZ96" s="91"/>
      <c r="BA96" s="91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</row>
    <row r="97" spans="2:81" s="6" customFormat="1" ht="14" customHeight="1"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 s="91"/>
      <c r="AZ97" s="91"/>
      <c r="BA97" s="91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</row>
    <row r="98" spans="2:81" s="6" customFormat="1" ht="14" customHeight="1"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 s="91"/>
      <c r="AZ98" s="91"/>
      <c r="BA98" s="91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</row>
    <row r="99" spans="2:81" s="6" customFormat="1" ht="14" customHeight="1"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 s="91"/>
      <c r="AZ99" s="91"/>
      <c r="BA99" s="91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</row>
    <row r="100" spans="2:81" s="6" customFormat="1" ht="14" customHeight="1"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 s="91"/>
      <c r="AZ100" s="91"/>
      <c r="BA100" s="91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</row>
    <row r="101" spans="2:81" s="6" customFormat="1" ht="14" customHeight="1"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 s="91"/>
      <c r="AZ101" s="91"/>
      <c r="BA101" s="91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</row>
    <row r="102" spans="2:81" s="6" customFormat="1" ht="14" customHeight="1"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 s="91"/>
      <c r="AZ102" s="91"/>
      <c r="BA102" s="91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</row>
    <row r="103" spans="2:81" s="6" customFormat="1" ht="14" customHeight="1"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 s="91"/>
      <c r="AZ103" s="91"/>
      <c r="BA103" s="91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</row>
    <row r="104" spans="2:81" s="6" customFormat="1" ht="14" customHeight="1"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 s="91"/>
      <c r="AZ104" s="91"/>
      <c r="BA104" s="91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</row>
    <row r="105" spans="2:81" s="6" customFormat="1" ht="14" customHeight="1">
      <c r="B105" s="7"/>
      <c r="C105" s="7"/>
      <c r="D105" s="7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 s="91"/>
      <c r="AZ105" s="91"/>
      <c r="BA105" s="91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</row>
    <row r="106" spans="2:81" s="6" customFormat="1" ht="14" customHeight="1">
      <c r="B106" s="7"/>
      <c r="C106" s="7"/>
      <c r="D106" s="7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 s="91"/>
      <c r="AZ106" s="91"/>
      <c r="BA106" s="91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</row>
    <row r="107" spans="2:81" s="6" customFormat="1" ht="14" customHeight="1">
      <c r="B107" s="7"/>
      <c r="C107" s="7"/>
      <c r="D107" s="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 s="91"/>
      <c r="AZ107" s="91"/>
      <c r="BA107" s="91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</row>
    <row r="108" spans="2:81" s="6" customFormat="1" ht="14" customHeight="1"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 s="91"/>
      <c r="AZ108" s="91"/>
      <c r="BA108" s="91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</row>
    <row r="109" spans="2:81" s="6" customFormat="1" ht="14" customHeight="1"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 s="91"/>
      <c r="AZ109" s="91"/>
      <c r="BA109" s="91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</row>
    <row r="110" spans="2:81" s="6" customFormat="1" ht="14" customHeight="1"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 s="91"/>
      <c r="AZ110" s="91"/>
      <c r="BA110" s="91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</row>
    <row r="111" spans="2:81" s="6" customFormat="1" ht="14" customHeight="1"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 s="91"/>
      <c r="AZ111" s="91"/>
      <c r="BA111" s="91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</row>
    <row r="112" spans="2:81" s="6" customFormat="1" ht="14" customHeight="1"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 s="91"/>
      <c r="AZ112" s="91"/>
      <c r="BA112" s="91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</row>
    <row r="113" spans="2:81" s="6" customFormat="1" ht="14" customHeight="1"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 s="91"/>
      <c r="AZ113" s="91"/>
      <c r="BA113" s="91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</row>
    <row r="114" spans="2:81" s="6" customFormat="1" ht="14" customHeight="1"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 s="91"/>
      <c r="AZ114" s="91"/>
      <c r="BA114" s="91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</row>
    <row r="115" spans="2:81" s="6" customFormat="1" ht="14" customHeight="1"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 s="91"/>
      <c r="AZ115" s="91"/>
      <c r="BA115" s="91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</row>
    <row r="116" spans="2:81" s="6" customFormat="1" ht="14" customHeight="1"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 s="91"/>
      <c r="AZ116" s="91"/>
      <c r="BA116" s="91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</row>
    <row r="117" spans="2:81" s="6" customFormat="1" ht="14" customHeight="1"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 s="91"/>
      <c r="AZ117" s="91"/>
      <c r="BA117" s="91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</row>
    <row r="118" spans="2:81" s="6" customFormat="1" ht="14" customHeight="1"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 s="91"/>
      <c r="AZ118" s="91"/>
      <c r="BA118" s="91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</row>
    <row r="119" spans="2:81" s="6" customFormat="1" ht="14" customHeight="1"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 s="91"/>
      <c r="AZ119" s="91"/>
      <c r="BA119" s="91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</row>
    <row r="120" spans="2:81" s="6" customFormat="1" ht="14" customHeight="1"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 s="91"/>
      <c r="AZ120" s="91"/>
      <c r="BA120" s="91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</row>
    <row r="121" spans="2:81" s="6" customFormat="1" ht="14" customHeight="1"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 s="91"/>
      <c r="AZ121" s="91"/>
      <c r="BA121" s="91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</row>
    <row r="122" spans="2:81" s="6" customFormat="1" ht="14" customHeight="1"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 s="91"/>
      <c r="AZ122" s="91"/>
      <c r="BA122" s="91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</row>
    <row r="123" spans="2:81" s="6" customFormat="1" ht="14" customHeight="1"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 s="91"/>
      <c r="AZ123" s="91"/>
      <c r="BA123" s="91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</row>
    <row r="124" spans="2:81" s="6" customFormat="1" ht="14" customHeight="1">
      <c r="M124" s="75" t="s">
        <v>40</v>
      </c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 s="91"/>
      <c r="AZ124" s="91"/>
      <c r="BA124" s="91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</row>
    <row r="125" spans="2:81" s="6" customFormat="1" ht="14" customHeight="1"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 s="91"/>
      <c r="AZ125" s="91"/>
      <c r="BA125" s="91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</row>
    <row r="126" spans="2:81" s="6" customFormat="1" ht="14" customHeight="1"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 s="91"/>
      <c r="AZ126" s="91"/>
      <c r="BA126" s="91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</row>
    <row r="127" spans="2:81" s="6" customFormat="1" ht="14" customHeight="1"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 s="91"/>
      <c r="AZ127" s="91"/>
      <c r="BA127" s="91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</row>
    <row r="128" spans="2:81" s="6" customFormat="1" ht="14" customHeight="1">
      <c r="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 s="91"/>
      <c r="AZ128" s="91"/>
      <c r="BA128" s="91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</row>
    <row r="129" spans="1:28" ht="14" customHeight="1">
      <c r="A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4" customHeight="1">
      <c r="A130" s="6"/>
      <c r="C130" s="38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AB130" s="6"/>
    </row>
    <row r="131" spans="1:28" ht="14" customHeight="1">
      <c r="A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AB131" s="6"/>
    </row>
    <row r="132" spans="1:28" ht="14" customHeight="1">
      <c r="C132" s="6"/>
      <c r="D132" s="6"/>
      <c r="E132" s="6"/>
      <c r="F132" s="6"/>
      <c r="S132" s="6"/>
    </row>
    <row r="133" spans="1:28" ht="14" customHeight="1">
      <c r="B133" s="6"/>
      <c r="C133" s="6"/>
      <c r="D133" s="6"/>
      <c r="E133" s="6"/>
      <c r="F133" s="6"/>
      <c r="S133" s="6"/>
    </row>
    <row r="134" spans="1:28" ht="14" customHeight="1">
      <c r="B134" s="6"/>
      <c r="C134" s="6"/>
      <c r="D134" s="6"/>
      <c r="E134" s="6"/>
    </row>
    <row r="136" spans="1:28" ht="14" customHeight="1">
      <c r="D136" s="6"/>
    </row>
    <row r="137" spans="1:28" ht="14" customHeight="1">
      <c r="D137" s="6"/>
    </row>
    <row r="138" spans="1:28" ht="14" customHeight="1">
      <c r="D138" s="6"/>
    </row>
    <row r="139" spans="1:28" ht="14" customHeight="1">
      <c r="D139" s="6"/>
    </row>
  </sheetData>
  <mergeCells count="26">
    <mergeCell ref="C2:Y2"/>
    <mergeCell ref="A1:AB1"/>
    <mergeCell ref="W3:AB3"/>
    <mergeCell ref="E86:F86"/>
    <mergeCell ref="Y43:AB43"/>
    <mergeCell ref="U43:X43"/>
    <mergeCell ref="Q43:T43"/>
    <mergeCell ref="M43:P43"/>
    <mergeCell ref="M86:N86"/>
    <mergeCell ref="Q86:R86"/>
    <mergeCell ref="A4:E4"/>
    <mergeCell ref="F3:J3"/>
    <mergeCell ref="G4:N4"/>
    <mergeCell ref="A43:C43"/>
    <mergeCell ref="I43:L43"/>
    <mergeCell ref="U86:V86"/>
    <mergeCell ref="Y86:Z86"/>
    <mergeCell ref="AI38:AW38"/>
    <mergeCell ref="AJ39:AO39"/>
    <mergeCell ref="A45:AA45"/>
    <mergeCell ref="E43:H43"/>
    <mergeCell ref="Q80:R80"/>
    <mergeCell ref="A73:AB73"/>
    <mergeCell ref="A66:AB66"/>
    <mergeCell ref="A59:AB59"/>
    <mergeCell ref="A52:AB52"/>
  </mergeCells>
  <phoneticPr fontId="21" type="noConversion"/>
  <conditionalFormatting sqref="P15">
    <cfRule type="containsText" dxfId="6" priority="49" operator="containsText" text="a">
      <formula>NOT(ISERROR(SEARCH("a",P15)))</formula>
    </cfRule>
  </conditionalFormatting>
  <conditionalFormatting sqref="F27:F36 I27:I36 L27:L36 O27:O36 R27:R36 X27:X36 U27:U36">
    <cfRule type="containsText" dxfId="5" priority="1" operator="containsText" text="d">
      <formula>NOT(ISERROR(SEARCH("d",F27)))</formula>
    </cfRule>
    <cfRule type="containsText" dxfId="4" priority="2" operator="containsText" text="c">
      <formula>NOT(ISERROR(SEARCH("c",F27)))</formula>
    </cfRule>
    <cfRule type="containsText" dxfId="3" priority="3" operator="containsText" text="b">
      <formula>NOT(ISERROR(SEARCH("b",F27)))</formula>
    </cfRule>
    <cfRule type="containsText" dxfId="2" priority="4" operator="containsText" text="a">
      <formula>NOT(ISERROR(SEARCH("a",F27)))</formula>
    </cfRule>
    <cfRule type="containsText" dxfId="1" priority="5" operator="containsText" text="e">
      <formula>NOT(ISERROR(SEARCH("e",F27)))</formula>
    </cfRule>
    <cfRule type="containsText" dxfId="0" priority="6" operator="containsText" text="e">
      <formula>NOT(ISERROR(SEARCH("e",F27)))</formula>
    </cfRule>
  </conditionalFormatting>
  <hyperlinks>
    <hyperlink ref="M124" r:id="rId1" display="www.thesum.org" xr:uid="{00000000-0004-0000-0000-000000000000}"/>
    <hyperlink ref="W3" r:id="rId2" xr:uid="{00000000-0004-0000-0000-000001000000}"/>
  </hyperlinks>
  <pageMargins left="0.15" right="0.15" top="0.15" bottom="0.15" header="0.3" footer="0.3"/>
  <pageSetup orientation="landscape" r:id="rId3"/>
  <headerFooter>
    <oddFooter>&amp;C&amp;"Calibri,Regular"&amp;K000000Page &amp;P of &amp;N_x000D_J Elliott Cisneros MEd, Carla Sherrell, EdD ~ 2016 ALL RIGHTS RESERVED ©</oddFooter>
  </headerFooter>
  <rowBreaks count="2" manualBreakCount="2">
    <brk id="40" max="16383" man="1"/>
    <brk id="131" max="16383" man="1"/>
  </rowBreaks>
  <colBreaks count="2" manualBreakCount="2">
    <brk id="28" max="1048575" man="1"/>
    <brk id="53" max="1048575" man="1"/>
  </col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Elliott</dc:creator>
  <cp:lastModifiedBy>Elliott Cisneros</cp:lastModifiedBy>
  <cp:lastPrinted>2019-09-02T19:08:19Z</cp:lastPrinted>
  <dcterms:created xsi:type="dcterms:W3CDTF">2016-05-23T22:29:28Z</dcterms:created>
  <dcterms:modified xsi:type="dcterms:W3CDTF">2019-09-02T19:08:31Z</dcterms:modified>
</cp:coreProperties>
</file>